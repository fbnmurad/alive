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lefonicacorp-my.sharepoint.com/personal/fabiana_moreira_telefonica_com/Documents/Desktop/.github/Fênix/Telco - Ciclo de Receita/FlexBill/"/>
    </mc:Choice>
  </mc:AlternateContent>
  <xr:revisionPtr revIDLastSave="267" documentId="8_{3548273D-9483-47D9-BEA4-89D77A1BFD40}" xr6:coauthVersionLast="47" xr6:coauthVersionMax="47" xr10:uidLastSave="{C4113659-7EBD-4304-B39D-69E8AC19CDB2}"/>
  <bookViews>
    <workbookView xWindow="18570" yWindow="0" windowWidth="19935" windowHeight="15585" xr2:uid="{118387CB-3E3B-4D16-8779-662E2FC0610D}"/>
  </bookViews>
  <sheets>
    <sheet name="Campos Flexbill" sheetId="4" r:id="rId1"/>
  </sheets>
  <definedNames>
    <definedName name="_xlnm._FilterDatabase" localSheetId="0" hidden="1">'Campos Flexbill'!$A$1:$H$71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2" i="4"/>
</calcChain>
</file>

<file path=xl/sharedStrings.xml><?xml version="1.0" encoding="utf-8"?>
<sst xmlns="http://schemas.openxmlformats.org/spreadsheetml/2006/main" count="302" uniqueCount="111">
  <si>
    <t>Campo</t>
  </si>
  <si>
    <t>Exemplo</t>
  </si>
  <si>
    <t>Data de vencimento</t>
  </si>
  <si>
    <t>Codigo de barras</t>
  </si>
  <si>
    <t>Item detalhado</t>
  </si>
  <si>
    <t>Codigo do item</t>
  </si>
  <si>
    <t>Descricao comercial</t>
  </si>
  <si>
    <t>Conceito faturavel</t>
  </si>
  <si>
    <t>Familia de produtos</t>
  </si>
  <si>
    <t>Numero do contrato do item</t>
  </si>
  <si>
    <t>Quantidade faturada</t>
  </si>
  <si>
    <t>Preco unitario</t>
  </si>
  <si>
    <t>Valor total do item</t>
  </si>
  <si>
    <t>Base de calculo ICMS</t>
  </si>
  <si>
    <t>Percentual ICMS</t>
  </si>
  <si>
    <t>Valor ICMS</t>
  </si>
  <si>
    <t>Base de calculo PIS</t>
  </si>
  <si>
    <t>Valor PIS</t>
  </si>
  <si>
    <t>Valor COFINS</t>
  </si>
  <si>
    <t>Base de calculo ISS</t>
  </si>
  <si>
    <t>Percentual ISS</t>
  </si>
  <si>
    <t>Valor ISS</t>
  </si>
  <si>
    <t>Emitente</t>
  </si>
  <si>
    <t>Cliente</t>
  </si>
  <si>
    <t>Email</t>
  </si>
  <si>
    <t>Endereco de cobranca</t>
  </si>
  <si>
    <t>Identificacao da fatura</t>
  </si>
  <si>
    <t>Numero da conta</t>
  </si>
  <si>
    <t>Numero da invoice</t>
  </si>
  <si>
    <t>Numero do contrato principal</t>
  </si>
  <si>
    <t>Mes/ano de referencia</t>
  </si>
  <si>
    <t>Periodo de apuracao</t>
  </si>
  <si>
    <t>Pagamento</t>
  </si>
  <si>
    <t>Total a pagar</t>
  </si>
  <si>
    <t>Percentual PIS</t>
  </si>
  <si>
    <t>Base de calculo COFINS</t>
  </si>
  <si>
    <t>Código LC 116</t>
  </si>
  <si>
    <t>Base do CBS</t>
  </si>
  <si>
    <t>Base IBS Estadual</t>
  </si>
  <si>
    <t>Base do IBS Municipal</t>
  </si>
  <si>
    <t>Percentual do CBS</t>
  </si>
  <si>
    <t>Percentual do IBS Municipal</t>
  </si>
  <si>
    <t>Percentual do IBS Estadual</t>
  </si>
  <si>
    <t>Valor do CBS</t>
  </si>
  <si>
    <t>Valor do IBS Municipal</t>
  </si>
  <si>
    <t>Valor do IBS Estadual</t>
  </si>
  <si>
    <t>Retenção Base CSLL</t>
  </si>
  <si>
    <t>Retenção Percentual CSLL</t>
  </si>
  <si>
    <t>Retenção Valor CSLL</t>
  </si>
  <si>
    <t>Retenção Base PIS</t>
  </si>
  <si>
    <t>Retenção Percentual PIS</t>
  </si>
  <si>
    <t>Retenção Valor PIS</t>
  </si>
  <si>
    <t>Retenção Base COFINS</t>
  </si>
  <si>
    <t>Retenção Percentual COFINS</t>
  </si>
  <si>
    <t>Retenção Valor COFINS</t>
  </si>
  <si>
    <t>Retenção Base IRRF</t>
  </si>
  <si>
    <t>Retenção Percentual IRRF</t>
  </si>
  <si>
    <t>Retenção Valor IRRF</t>
  </si>
  <si>
    <t>Base FCP</t>
  </si>
  <si>
    <t>Percentual FCP</t>
  </si>
  <si>
    <t>Valor FCP</t>
  </si>
  <si>
    <t>Base FUST</t>
  </si>
  <si>
    <t>Percentual FUST</t>
  </si>
  <si>
    <t>Valor FUST</t>
  </si>
  <si>
    <t>Base FUNTTEL</t>
  </si>
  <si>
    <t>Percentual FUNTTEL</t>
  </si>
  <si>
    <t>Valor FUNTTEL</t>
  </si>
  <si>
    <t>CFOP</t>
  </si>
  <si>
    <t>MENSAGEM IMPORTANTE PARA VOCÊ</t>
  </si>
  <si>
    <t>Nome Solicitante</t>
  </si>
  <si>
    <t>E-mail Solicitante</t>
  </si>
  <si>
    <t>Telefone Solicitante</t>
  </si>
  <si>
    <t>Impostos Federais</t>
  </si>
  <si>
    <t>Impostos Municipais</t>
  </si>
  <si>
    <t>Impostos Estaduais</t>
  </si>
  <si>
    <t>Retenções Federais</t>
  </si>
  <si>
    <t>Federal</t>
  </si>
  <si>
    <t>Municipal</t>
  </si>
  <si>
    <t>Estadual</t>
  </si>
  <si>
    <t>Ref. Tribut. - Federal</t>
  </si>
  <si>
    <t>Ref. Tribut. - IBS Municipal</t>
  </si>
  <si>
    <t>Ref. Tribut. - IBS Estadual</t>
  </si>
  <si>
    <t>Fundos e Contr. Set.</t>
  </si>
  <si>
    <t>Class. Fiscal / Oper.</t>
  </si>
  <si>
    <t>Macrogrupo</t>
  </si>
  <si>
    <t>Grupo</t>
  </si>
  <si>
    <t>Partes envolvidas</t>
  </si>
  <si>
    <t>Dados da fatura</t>
  </si>
  <si>
    <t>Composição da cobrança</t>
  </si>
  <si>
    <t>Validação e comunicação</t>
  </si>
  <si>
    <t>Contato do solicitante</t>
  </si>
  <si>
    <t>Comunicação</t>
  </si>
  <si>
    <t>Não tributária</t>
  </si>
  <si>
    <t>Domínio</t>
  </si>
  <si>
    <t>Classificações fiscais</t>
  </si>
  <si>
    <t>Tributário</t>
  </si>
  <si>
    <t>Mensagem importante para você</t>
  </si>
  <si>
    <t>1.07</t>
  </si>
  <si>
    <t>faturamento@grupoorizon.com.br</t>
  </si>
  <si>
    <t>Avenida das Nações Unidas, 12995 - 18º andar - Brooklin - São Paulo/SP - CEP 04578-000</t>
  </si>
  <si>
    <t>Cliente B2B com faturamento centralizado. Validar contrato master, centro de custo e unidade tomadora antes da emissão.</t>
  </si>
  <si>
    <t>Mariana Alves Costa</t>
  </si>
  <si>
    <t>mariana.costa@grupoorizon.com.br</t>
  </si>
  <si>
    <t>2026-05-01 a 2026-05-31</t>
  </si>
  <si>
    <t>BRMIPCONNECT500</t>
  </si>
  <si>
    <t>Link Dedicado 500 Mbps Corporativo</t>
  </si>
  <si>
    <t>CONNECT EMPRESAS 500M</t>
  </si>
  <si>
    <t>Conectividade Empresarial</t>
  </si>
  <si>
    <t>Tipo</t>
  </si>
  <si>
    <t>Telefone/celular</t>
  </si>
  <si>
    <t>Nome do Campo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</si>
</sst>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Font="1" applyFill="1"/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49" fontId="0" fillId="0" borderId="0" xfId="0" applyNumberFormat="1" applyFont="1" applyFill="1"/>
    <xf numFmtId="4" fontId="0" fillId="0" borderId="0" xfId="0" applyNumberFormat="1" applyFont="1" applyFill="1"/>
    <xf numFmtId="10" fontId="0" fillId="0" borderId="0" xfId="0" applyNumberFormat="1" applyFont="1" applyFill="1"/>
    <xf numFmtId="17" fontId="0" fillId="0" borderId="0" xfId="0" applyNumberFormat="1" applyFont="1" applyFill="1"/>
    <xf numFmtId="14" fontId="0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EB9BC-7619-4F80-A2E0-C122932AAE5D}">
  <dimension ref="A1:H71"/>
  <sheetViews>
    <sheetView tabSelected="1" zoomScale="85" zoomScaleNormal="85" workbookViewId="0">
      <pane ySplit="1" topLeftCell="A2" activePane="bottomLeft" state="frozen"/>
      <selection pane="bottomLeft" activeCell="H2" sqref="H2"/>
    </sheetView>
  </sheetViews>
  <sheetFormatPr defaultRowHeight="15" x14ac:dyDescent="0.25"/>
  <cols>
    <col min="1" max="1" width="13.5703125" style="2" bestFit="1" customWidth="1"/>
    <col min="2" max="3" width="24.42578125" style="2" bestFit="1" customWidth="1"/>
    <col min="4" max="4" width="33.85546875" style="2" bestFit="1" customWidth="1"/>
    <col min="5" max="5" width="39.140625" style="2" hidden="1" customWidth="1"/>
    <col min="6" max="6" width="15.7109375" style="2" customWidth="1"/>
    <col min="7" max="7" width="13.7109375" style="2" bestFit="1" customWidth="1"/>
    <col min="8" max="8" width="35.140625" style="2" bestFit="1" customWidth="1"/>
    <col min="9" max="16384" width="9.140625" style="2"/>
  </cols>
  <sheetData>
    <row r="1" spans="1:8" x14ac:dyDescent="0.25">
      <c r="A1" s="1" t="s">
        <v>93</v>
      </c>
      <c r="B1" s="1" t="s">
        <v>84</v>
      </c>
      <c r="C1" s="1" t="s">
        <v>85</v>
      </c>
      <c r="D1" s="1" t="s">
        <v>0</v>
      </c>
      <c r="E1" s="1" t="s">
        <v>1</v>
      </c>
      <c r="F1" s="1" t="s">
        <v>1</v>
      </c>
      <c r="G1" s="1" t="s">
        <v>108</v>
      </c>
      <c r="H1" s="1" t="s">
        <v>110</v>
      </c>
    </row>
    <row r="2" spans="1:8" x14ac:dyDescent="0.25">
      <c r="A2" s="3" t="s">
        <v>95</v>
      </c>
      <c r="B2" s="2" t="s">
        <v>78</v>
      </c>
      <c r="C2" s="2" t="s">
        <v>74</v>
      </c>
      <c r="D2" s="2" t="s">
        <v>13</v>
      </c>
      <c r="E2" s="7">
        <v>4890</v>
      </c>
      <c r="F2" s="2" t="str">
        <f>_xlfn.LET(
_xlpm.campo,UPPER(D2),
_xlpm.valor,E2,
_xlpm.ehPercentual,OR(
ISNUMBER(FIND("PERCENTUAL",_xlpm.campo)),
ISNUMBER(FIND("ALÍQUOTA",_xlpm.campo)),
ISNUMBER(FIND("ALIQUOTA",_xlpm.campo)),
ISNUMBER(FIND("%",_xlpm.campo))
),
_xlpm.ehTelefone,OR(
ISNUMBER(FIND("TELEFONE",_xlpm.campo)),
ISNUMBER(FIND("CELULAR",_xlpm.campo)),
ISNUMBER(FIND("FONE",_xlpm.campo)),
ISNUMBER(FIND("DDD",_xlpm.campo))
),
_xlpm.ehDocumento,OR(
ISNUMBER(FIND("CNPJ",_xlpm.campo)),
ISNUMBER(FIND("CPF",_xlpm.campo))
),
_xlpm.ehCEP,ISNUMBER(FIND("CEP",_xlpm.campo)),
_xlpm.ehIdentificador,OR(
ISNUMBER(FIND("NÚMERO",_xlpm.campo)),
ISNUMBER(FIND("NUMERO",_xlpm.campo)),
ISNUMBER(FIND("CONTA",_xlpm.campo)),
ISNUMBER(FIND("FATURA",_xlpm.campo)),
ISNUMBER(FIND("NOTA",_xlpm.campo)),
ISNUMBER(FIND("NF",_xlpm.campo)),
ISNUMBER(FIND("NFST",_xlpm.campo)),
ISNUMBER(FIND("SÉRIE",_xlpm.campo)),
ISNUMBER(FIND("SERIE",_xlpm.campo)),
ISNUMBER(FIND("CÓDIGO",_xlpm.campo)),
ISNUMBER(FIND("CODIGO",_xlpm.campo)),
ISNUMBER(FIND("ID",_xlpm.campo)),
ISNUMBER(FIND("CHAVE",_xlpm.campo)),
ISNUMBER(FIND("PROTOCOLO",_xlpm.campo)),
ISNUMBER(FIND("INSCRIÇÃO",_xlpm.campo)),
ISNUMBER(FIND("INSCRICAO",_xlpm.campo))
),
_xlpm.ehData,OR(
ISNUMBER(FIND("DATA",_xlpm.campo)),
ISNUMBER(FIND("VENCIMENTO",_xlpm.campo)),
ISNUMBER(FIND("EMISSÃO",_xlpm.campo)),
ISNUMBER(FIND("EMISSAO",_xlpm.campo)),
ISNUMBER(FIND("PERÍODO",_xlpm.campo)),
ISNUMBER(FIND("PERIODO",_xlpm.campo)),
ISNUMBER(FIND("APURAÇÃO",_xlpm.campo)),
ISNUMBER(FIND("APURACAO",_xlpm.campo))
),
_xlpm.ehMoeda,OR(
ISNUMBER(FIND("VALOR",_xlpm.campo)),
ISNUMBER(FIND("TOTAL",_xlpm.campo)),
ISNUMBER(FIND("BASE DE CALCULO",_xlpm.campo)),
ISNUMBER(FIND("BASE DE CÁLCULO",_xlpm.campo)),
ISNUMBER(FIND("BASE ICMS",_xlpm.campo)),
ISNUMBER(FIND("BASE IBS",_xlpm.campo)),
ISNUMBER(FIND("BASE CBS",_xlpm.campo)),
ISNUMBER(FIND("BASE FCP",_xlpm.campo)),
ISNUMBER(FIND("BASE PIS",_xlpm.campo)),
ISNUMBER(FIND("BASE COFINS",_xlpm.campo)),
ISNUMBER(FIND("BASE IRRF",_xlpm.campo)),
ISNUMBER(FIND("DESCONTO",_xlpm.campo)),
ISNUMBER(FIND("JUROS",_xlpm.campo)),
ISNUMBER(FIND("MULTA",_xlpm.campo)),
ISNUMBER(FIND("ENCARGO",_xlpm.campo)),
ISNUMBER(FIND("SALDO",_xlpm.campo))
),
_xlpm.ehQuantidade,OR(
ISNUMBER(FIND("QUANTIDADE",_xlpm.campo)),
ISNUMBER(FIND("QTD",_xlpm.campo))
),
IF(_xlpm.ehPercentual,
IFERROR(TEXT(IF(_xlpm.valor&gt;1,_xlpm.valor/100,_xlpm.valor),"0,00%"),_xlpm.valor),
IF(_xlpm.ehTelefone,
_xlpm.valor,
IF(_xlpm.ehDocumento,
_xlpm.valor,
IF(_xlpm.ehCEP,
_xlpm.valor,
IF(_xlpm.ehIdentificador,
_xlpm.valor,
IF(_xlpm.ehData,
IFERROR(TEXT(_xlpm.valor,"DD/MM/AAAA"),_xlpm.valor),
IF(_xlpm.ehMoeda,
IFERROR(TEXT(_xlpm.valor,"R$ #.##0,00"),_xlpm.valor),
IF(_xlpm.ehQuantidade,
IFERROR(TEXT(_xlpm.valor,"#.##0"),_xlpm.valor),
_xlpm.valor))))))))
)</f>
        <v>R$ 4.890,00</v>
      </c>
      <c r="G2" s="2" t="str">
        <f>_xlfn.LET(
_xlpm.campo,UPPER(D2),
_xlpm.valor,E2,
_xlpm.ehPercentual,OR(
ISNUMBER(FIND("PERCENTUAL",_xlpm.campo)),
ISNUMBER(FIND("ALÍQUOTA",_xlpm.campo)),
ISNUMBER(FIND("ALIQUOTA",_xlpm.campo)),
ISNUMBER(FIND("TAXA",_xlpm.campo))
),
_xlpm.ehData,OR(
ISNUMBER(FIND("DATA",_xlpm.campo)),
ISNUMBER(FIND("VENCIMENTO",_xlpm.campo)),
ISNUMBER(FIND("EMISSÃO",_xlpm.campo)),
ISNUMBER(FIND("EMISSAO",_xlpm.campo)),
ISNUMBER(FIND("PERÍODO",_xlpm.campo)),
ISNUMBER(FIND("PERIODO",_xlpm.campo)),
ISNUMBER(FIND("APURAÇÃO",_xlpm.campo)),
ISNUMBER(FIND("APURACAO",_xlpm.campo))
),
_xlpm.ehIdentificador,OR(
ISNUMBER(FIND("NÚMERO",_xlpm.campo)),
ISNUMBER(FIND("NUMERO",_xlpm.campo)),
ISNUMBER(FIND("CONTA",_xlpm.campo)),
ISNUMBER(FIND("FATURA",_xlpm.campo)),
ISNUMBER(FIND("NOTA",_xlpm.campo)),
ISNUMBER(FIND("NF",_xlpm.campo)),
ISNUMBER(FIND("NFST",_xlpm.campo)),
ISNUMBER(FIND("SÉRIE",_xlpm.campo)),
ISNUMBER(FIND("SERIE",_xlpm.campo)),
ISNUMBER(FIND("CÓDIGO",_xlpm.campo)),
ISNUMBER(FIND("CODIGO",_xlpm.campo)),
ISNUMBER(FIND("ID",_xlpm.campo)),
ISNUMBER(FIND("CHAVE",_xlpm.campo)),
ISNUMBER(FIND("PROTOCOLO",_xlpm.campo)),
ISNUMBER(FIND("INSCRIÇÃO",_xlpm.campo)),
ISNUMBER(FIND("INSCRICAO",_xlpm.campo))
),
_xlpm.ehDocumento,OR(
ISNUMBER(FIND("CNPJ",_xlpm.campo)),
ISNUMBER(FIND("CPF",_xlpm.campo)),
ISNUMBER(FIND("DOCUMENTO",_xlpm.campo))
),
_xlpm.ehTelefone,OR(
ISNUMBER(FIND("TELEFONE",_xlpm.campo)),
ISNUMBER(FIND("CELULAR",_xlpm.campo)),
ISNUMBER(FIND("FONE",_xlpm.campo)),
ISNUMBER(FIND("DDD",_xlpm.campo))
),
_xlpm.ehEndereco,OR(
ISNUMBER(FIND("CEP",_xlpm.campo)),
ISNUMBER(FIND("ENDEREÇO",_xlpm.campo)),
ISNUMBER(FIND("ENDERECO",_xlpm.campo)),
ISNUMBER(FIND("LOGRADOURO",_xlpm.campo)),
ISNUMBER(FIND("BAIRRO",_xlpm.campo)),
ISNUMBER(FIND("MUNICÍPIO",_xlpm.campo)),
ISNUMBER(FIND("MUNICIPIO",_xlpm.campo)),
ISNUMBER(FIND("CIDADE",_xlpm.campo)),
ISNUMBER(FIND("UF",_xlpm.campo))
),
_xlpm.ehTexto,OR(
ISNUMBER(FIND("RAZÃO",_xlpm.campo)),
ISNUMBER(FIND("RAZAO",_xlpm.campo)),
ISNUMBER(FIND("NOME",_xlpm.campo)),
ISNUMBER(FIND("DESCRIÇÃO",_xlpm.campo)),
ISNUMBER(FIND("DESCRICAO",_xlpm.campo)),
ISNUMBER(FIND("TIPO",_xlpm.campo)),
ISNUMBER(FIND("STATUS",_xlpm.campo)),
ISNUMBER(FIND("FORMA",_xlpm.campo)),
ISNUMBER(FIND("MENSAGEM",_xlpm.campo)),
ISNUMBER(FIND("OBSERVAÇÃO",_xlpm.campo)),
ISNUMBER(FIND("OBSERVACAO",_xlpm.campo))
),
_xlpm.ehMoeda,OR(
ISNUMBER(FIND("VALOR",_xlpm.campo)),
ISNUMBER(FIND("TOTAL",_xlpm.campo)),
ISNUMBER(FIND("BASE",_xlpm.campo)),
ISNUMBER(FIND("DESCONTO",_xlpm.campo)),
ISNUMBER(FIND("JUROS",_xlpm.campo)),
ISNUMBER(FIND("MULTA",_xlpm.campo)),
ISNUMBER(FIND("ENCARGO",_xlpm.campo)),
ISNUMBER(FIND("SALDO",_xlpm.campo))
),
_xlpm.ehQuantidade,OR(
ISNUMBER(FIND("QUANTIDADE",_xlpm.campo)),
ISNUMBER(FIND("QTD",_xlpm.campo))
),
IF(_xlpm.ehData,
"DATE",
IF(OR(_xlpm.ehIdentificador,_xlpm.ehDocumento,_xlpm.ehTelefone,_xlpm.ehEndereco,_xlpm.ehTexto),
"VARCHAR2(255 CHAR)",
IF(_xlpm.ehPercentual,
"NUMBER(9,6)",
IF(_xlpm.ehMoeda,
"NUMBER(15,2)",
IF(_xlpm.ehQuantidade,
"NUMBER(10)",
IF(ISNUMBER(_xlpm.valor),
"NUMBER",
"VARCHAR2(255 CHAR)")))))
))</f>
        <v>NUMBER(15,2)</v>
      </c>
      <c r="H2" s="2" t="str">
        <f>IF(D2="","",_xlfn.LET(
_xlpm.campo,UPPER(TRIM(D2)),
_xlpm.limpo,SUBSTITUTE(SUBSTITUTE(SUBSTITUTE(SUBSTITUTE(SUBSTITUTE(SUBSTITUTE(_xlpm.campo," ","_"),"-","_"),"/","_"),".","_"),"(",""),")",""),
_xlpm.nome,IF(ISNUMBER(IFERROR(VALUE(LEFT(_xlpm.limpo,1)),"")),"F_"&amp;_xlpm.limpo,_xlpm.limpo),
_xlpm.nome
))</f>
        <v>BASE_DE_CALCULO_ICMS</v>
      </c>
    </row>
    <row r="3" spans="1:8" x14ac:dyDescent="0.25">
      <c r="A3" s="3" t="s">
        <v>95</v>
      </c>
      <c r="B3" s="2" t="s">
        <v>78</v>
      </c>
      <c r="C3" s="2" t="s">
        <v>74</v>
      </c>
      <c r="D3" s="2" t="s">
        <v>14</v>
      </c>
      <c r="E3" s="8">
        <v>0.18</v>
      </c>
      <c r="F3" s="2" t="str">
        <f t="shared" ref="F3:F66" si="0">_xlfn.LET(
_xlpm.campo,UPPER(D3),
_xlpm.valor,E3,
_xlpm.ehPercentual,OR(
ISNUMBER(FIND("PERCENTUAL",_xlpm.campo)),
ISNUMBER(FIND("ALÍQUOTA",_xlpm.campo)),
ISNUMBER(FIND("ALIQUOTA",_xlpm.campo)),
ISNUMBER(FIND("%",_xlpm.campo))
),
_xlpm.ehTelefone,OR(
ISNUMBER(FIND("TELEFONE",_xlpm.campo)),
ISNUMBER(FIND("CELULAR",_xlpm.campo)),
ISNUMBER(FIND("FONE",_xlpm.campo)),
ISNUMBER(FIND("DDD",_xlpm.campo))
),
_xlpm.ehDocumento,OR(
ISNUMBER(FIND("CNPJ",_xlpm.campo)),
ISNUMBER(FIND("CPF",_xlpm.campo))
),
_xlpm.ehCEP,ISNUMBER(FIND("CEP",_xlpm.campo)),
_xlpm.ehIdentificador,OR(
ISNUMBER(FIND("NÚMERO",_xlpm.campo)),
ISNUMBER(FIND("NUMERO",_xlpm.campo)),
ISNUMBER(FIND("CONTA",_xlpm.campo)),
ISNUMBER(FIND("FATURA",_xlpm.campo)),
ISNUMBER(FIND("NOTA",_xlpm.campo)),
ISNUMBER(FIND("NF",_xlpm.campo)),
ISNUMBER(FIND("NFST",_xlpm.campo)),
ISNUMBER(FIND("SÉRIE",_xlpm.campo)),
ISNUMBER(FIND("SERIE",_xlpm.campo)),
ISNUMBER(FIND("CÓDIGO",_xlpm.campo)),
ISNUMBER(FIND("CODIGO",_xlpm.campo)),
ISNUMBER(FIND("ID",_xlpm.campo)),
ISNUMBER(FIND("CHAVE",_xlpm.campo)),
ISNUMBER(FIND("PROTOCOLO",_xlpm.campo)),
ISNUMBER(FIND("INSCRIÇÃO",_xlpm.campo)),
ISNUMBER(FIND("INSCRICAO",_xlpm.campo))
),
_xlpm.ehData,OR(
ISNUMBER(FIND("DATA",_xlpm.campo)),
ISNUMBER(FIND("VENCIMENTO",_xlpm.campo)),
ISNUMBER(FIND("EMISSÃO",_xlpm.campo)),
ISNUMBER(FIND("EMISSAO",_xlpm.campo)),
ISNUMBER(FIND("PERÍODO",_xlpm.campo)),
ISNUMBER(FIND("PERIODO",_xlpm.campo)),
ISNUMBER(FIND("APURAÇÃO",_xlpm.campo)),
ISNUMBER(FIND("APURACAO",_xlpm.campo))
),
_xlpm.ehMoeda,OR(
ISNUMBER(FIND("VALOR",_xlpm.campo)),
ISNUMBER(FIND("TOTAL",_xlpm.campo)),
ISNUMBER(FIND("BASE DE CALCULO",_xlpm.campo)),
ISNUMBER(FIND("BASE DE CÁLCULO",_xlpm.campo)),
ISNUMBER(FIND("BASE ICMS",_xlpm.campo)),
ISNUMBER(FIND("BASE IBS",_xlpm.campo)),
ISNUMBER(FIND("BASE CBS",_xlpm.campo)),
ISNUMBER(FIND("BASE FCP",_xlpm.campo)),
ISNUMBER(FIND("BASE PIS",_xlpm.campo)),
ISNUMBER(FIND("BASE COFINS",_xlpm.campo)),
ISNUMBER(FIND("BASE IRRF",_xlpm.campo)),
ISNUMBER(FIND("DESCONTO",_xlpm.campo)),
ISNUMBER(FIND("JUROS",_xlpm.campo)),
ISNUMBER(FIND("MULTA",_xlpm.campo)),
ISNUMBER(FIND("ENCARGO",_xlpm.campo)),
ISNUMBER(FIND("SALDO",_xlpm.campo))
),
_xlpm.ehQuantidade,OR(
ISNUMBER(FIND("QUANTIDADE",_xlpm.campo)),
ISNUMBER(FIND("QTD",_xlpm.campo))
),
IF(_xlpm.ehPercentual,
IFERROR(TEXT(IF(_xlpm.valor&gt;1,_xlpm.valor/100,_xlpm.valor),"0,00%"),_xlpm.valor),
IF(_xlpm.ehTelefone,
_xlpm.valor,
IF(_xlpm.ehDocumento,
_xlpm.valor,
IF(_xlpm.ehCEP,
_xlpm.valor,
IF(_xlpm.ehIdentificador,
_xlpm.valor,
IF(_xlpm.ehData,
IFERROR(TEXT(_xlpm.valor,"DD/MM/AAAA"),_xlpm.valor),
IF(_xlpm.ehMoeda,
IFERROR(TEXT(_xlpm.valor,"R$ #.##0,00"),_xlpm.valor),
IF(_xlpm.ehQuantidade,
IFERROR(TEXT(_xlpm.valor,"#.##0"),_xlpm.valor),
_xlpm.valor))))))))
)</f>
        <v>18,00%</v>
      </c>
      <c r="G3" s="2" t="str">
        <f t="shared" ref="G3:G66" si="1">_xlfn.LET(
_xlpm.campo,UPPER(D3),
_xlpm.valor,E3,
_xlpm.ehPercentual,OR(
ISNUMBER(FIND("PERCENTUAL",_xlpm.campo)),
ISNUMBER(FIND("ALÍQUOTA",_xlpm.campo)),
ISNUMBER(FIND("ALIQUOTA",_xlpm.campo)),
ISNUMBER(FIND("TAXA",_xlpm.campo))
),
_xlpm.ehData,OR(
ISNUMBER(FIND("DATA",_xlpm.campo)),
ISNUMBER(FIND("VENCIMENTO",_xlpm.campo)),
ISNUMBER(FIND("EMISSÃO",_xlpm.campo)),
ISNUMBER(FIND("EMISSAO",_xlpm.campo)),
ISNUMBER(FIND("PERÍODO",_xlpm.campo)),
ISNUMBER(FIND("PERIODO",_xlpm.campo)),
ISNUMBER(FIND("APURAÇÃO",_xlpm.campo)),
ISNUMBER(FIND("APURACAO",_xlpm.campo))
),
_xlpm.ehIdentificador,OR(
ISNUMBER(FIND("NÚMERO",_xlpm.campo)),
ISNUMBER(FIND("NUMERO",_xlpm.campo)),
ISNUMBER(FIND("CONTA",_xlpm.campo)),
ISNUMBER(FIND("FATURA",_xlpm.campo)),
ISNUMBER(FIND("NOTA",_xlpm.campo)),
ISNUMBER(FIND("NF",_xlpm.campo)),
ISNUMBER(FIND("NFST",_xlpm.campo)),
ISNUMBER(FIND("SÉRIE",_xlpm.campo)),
ISNUMBER(FIND("SERIE",_xlpm.campo)),
ISNUMBER(FIND("CÓDIGO",_xlpm.campo)),
ISNUMBER(FIND("CODIGO",_xlpm.campo)),
ISNUMBER(FIND("ID",_xlpm.campo)),
ISNUMBER(FIND("CHAVE",_xlpm.campo)),
ISNUMBER(FIND("PROTOCOLO",_xlpm.campo)),
ISNUMBER(FIND("INSCRIÇÃO",_xlpm.campo)),
ISNUMBER(FIND("INSCRICAO",_xlpm.campo))
),
_xlpm.ehDocumento,OR(
ISNUMBER(FIND("CNPJ",_xlpm.campo)),
ISNUMBER(FIND("CPF",_xlpm.campo)),
ISNUMBER(FIND("DOCUMENTO",_xlpm.campo))
),
_xlpm.ehTelefone,OR(
ISNUMBER(FIND("TELEFONE",_xlpm.campo)),
ISNUMBER(FIND("CELULAR",_xlpm.campo)),
ISNUMBER(FIND("FONE",_xlpm.campo)),
ISNUMBER(FIND("DDD",_xlpm.campo))
),
_xlpm.ehEndereco,OR(
ISNUMBER(FIND("CEP",_xlpm.campo)),
ISNUMBER(FIND("ENDEREÇO",_xlpm.campo)),
ISNUMBER(FIND("ENDERECO",_xlpm.campo)),
ISNUMBER(FIND("LOGRADOURO",_xlpm.campo)),
ISNUMBER(FIND("BAIRRO",_xlpm.campo)),
ISNUMBER(FIND("MUNICÍPIO",_xlpm.campo)),
ISNUMBER(FIND("MUNICIPIO",_xlpm.campo)),
ISNUMBER(FIND("CIDADE",_xlpm.campo)),
ISNUMBER(FIND("UF",_xlpm.campo))
),
_xlpm.ehTexto,OR(
ISNUMBER(FIND("RAZÃO",_xlpm.campo)),
ISNUMBER(FIND("RAZAO",_xlpm.campo)),
ISNUMBER(FIND("NOME",_xlpm.campo)),
ISNUMBER(FIND("DESCRIÇÃO",_xlpm.campo)),
ISNUMBER(FIND("DESCRICAO",_xlpm.campo)),
ISNUMBER(FIND("TIPO",_xlpm.campo)),
ISNUMBER(FIND("STATUS",_xlpm.campo)),
ISNUMBER(FIND("FORMA",_xlpm.campo)),
ISNUMBER(FIND("MENSAGEM",_xlpm.campo)),
ISNUMBER(FIND("OBSERVAÇÃO",_xlpm.campo)),
ISNUMBER(FIND("OBSERVACAO",_xlpm.campo))
),
_xlpm.ehMoeda,OR(
ISNUMBER(FIND("VALOR",_xlpm.campo)),
ISNUMBER(FIND("TOTAL",_xlpm.campo)),
ISNUMBER(FIND("BASE",_xlpm.campo)),
ISNUMBER(FIND("DESCONTO",_xlpm.campo)),
ISNUMBER(FIND("JUROS",_xlpm.campo)),
ISNUMBER(FIND("MULTA",_xlpm.campo)),
ISNUMBER(FIND("ENCARGO",_xlpm.campo)),
ISNUMBER(FIND("SALDO",_xlpm.campo))
),
_xlpm.ehQuantidade,OR(
ISNUMBER(FIND("QUANTIDADE",_xlpm.campo)),
ISNUMBER(FIND("QTD",_xlpm.campo))
),
IF(_xlpm.ehData,
"DATE",
IF(OR(_xlpm.ehIdentificador,_xlpm.ehDocumento,_xlpm.ehTelefone,_xlpm.ehEndereco,_xlpm.ehTexto),
"VARCHAR2(255 CHAR)",
IF(_xlpm.ehPercentual,
"NUMBER(9,6)",
IF(_xlpm.ehMoeda,
"NUMBER(15,2)",
IF(_xlpm.ehQuantidade,
"NUMBER(10)",
IF(ISNUMBER(_xlpm.valor),
"NUMBER",
"VARCHAR2(255 CHAR)")))))
))</f>
        <v>NUMBER(9,6)</v>
      </c>
      <c r="H3" s="2" t="str">
        <f t="shared" ref="H3:H66" si="2">IF(D3="","",_xlfn.LET(
_xlpm.campo,UPPER(TRIM(D3)),
_xlpm.limpo,SUBSTITUTE(SUBSTITUTE(SUBSTITUTE(SUBSTITUTE(SUBSTITUTE(SUBSTITUTE(_xlpm.campo," ","_"),"-","_"),"/","_"),".","_"),"(",""),")",""),
_xlpm.nome,IF(ISNUMBER(IFERROR(VALUE(LEFT(_xlpm.limpo,1)),"")),"F_"&amp;_xlpm.limpo,_xlpm.limpo),
_xlpm.nome
))</f>
        <v>PERCENTUAL_ICMS</v>
      </c>
    </row>
    <row r="4" spans="1:8" x14ac:dyDescent="0.25">
      <c r="A4" s="3" t="s">
        <v>95</v>
      </c>
      <c r="B4" s="2" t="s">
        <v>78</v>
      </c>
      <c r="C4" s="2" t="s">
        <v>74</v>
      </c>
      <c r="D4" s="2" t="s">
        <v>15</v>
      </c>
      <c r="E4" s="2">
        <v>880.2</v>
      </c>
      <c r="F4" s="2" t="str">
        <f t="shared" si="0"/>
        <v>R$ 880,20</v>
      </c>
      <c r="G4" s="2" t="str">
        <f t="shared" si="1"/>
        <v>NUMBER(15,2)</v>
      </c>
      <c r="H4" s="2" t="str">
        <f t="shared" si="2"/>
        <v>VALOR_ICMS</v>
      </c>
    </row>
    <row r="5" spans="1:8" x14ac:dyDescent="0.25">
      <c r="A5" s="3" t="s">
        <v>95</v>
      </c>
      <c r="B5" s="2" t="s">
        <v>78</v>
      </c>
      <c r="C5" s="2" t="s">
        <v>81</v>
      </c>
      <c r="D5" s="2" t="s">
        <v>38</v>
      </c>
      <c r="E5" s="7">
        <v>4890</v>
      </c>
      <c r="F5" s="2" t="str">
        <f t="shared" si="0"/>
        <v>R$ 4.890,00</v>
      </c>
      <c r="G5" s="2" t="str">
        <f t="shared" si="1"/>
        <v>NUMBER(15,2)</v>
      </c>
      <c r="H5" s="2" t="str">
        <f t="shared" si="2"/>
        <v>BASE_IBS_ESTADUAL</v>
      </c>
    </row>
    <row r="6" spans="1:8" x14ac:dyDescent="0.25">
      <c r="A6" s="3" t="s">
        <v>95</v>
      </c>
      <c r="B6" s="2" t="s">
        <v>78</v>
      </c>
      <c r="C6" s="2" t="s">
        <v>81</v>
      </c>
      <c r="D6" s="2" t="s">
        <v>42</v>
      </c>
      <c r="E6" s="8">
        <v>9.7000000000000003E-2</v>
      </c>
      <c r="F6" s="2" t="str">
        <f t="shared" si="0"/>
        <v>9,70%</v>
      </c>
      <c r="G6" s="2" t="str">
        <f t="shared" si="1"/>
        <v>NUMBER(9,6)</v>
      </c>
      <c r="H6" s="2" t="str">
        <f t="shared" si="2"/>
        <v>PERCENTUAL_DO_IBS_ESTADUAL</v>
      </c>
    </row>
    <row r="7" spans="1:8" x14ac:dyDescent="0.25">
      <c r="A7" s="3" t="s">
        <v>95</v>
      </c>
      <c r="B7" s="2" t="s">
        <v>78</v>
      </c>
      <c r="C7" s="2" t="s">
        <v>81</v>
      </c>
      <c r="D7" s="2" t="s">
        <v>45</v>
      </c>
      <c r="E7" s="2">
        <v>474.33</v>
      </c>
      <c r="F7" s="2" t="str">
        <f t="shared" si="0"/>
        <v>R$ 474,33</v>
      </c>
      <c r="G7" s="2" t="str">
        <f t="shared" si="1"/>
        <v>NUMBER(15,2)</v>
      </c>
      <c r="H7" s="2" t="str">
        <f t="shared" si="2"/>
        <v>VALOR_DO_IBS_ESTADUAL</v>
      </c>
    </row>
    <row r="8" spans="1:8" x14ac:dyDescent="0.25">
      <c r="A8" s="3" t="s">
        <v>95</v>
      </c>
      <c r="B8" s="4" t="s">
        <v>78</v>
      </c>
      <c r="C8" s="2" t="s">
        <v>82</v>
      </c>
      <c r="D8" s="2" t="s">
        <v>58</v>
      </c>
      <c r="E8" s="7">
        <v>4890</v>
      </c>
      <c r="F8" s="2" t="str">
        <f t="shared" si="0"/>
        <v>R$ 4.890,00</v>
      </c>
      <c r="G8" s="2" t="str">
        <f t="shared" si="1"/>
        <v>NUMBER(15,2)</v>
      </c>
      <c r="H8" s="2" t="str">
        <f t="shared" si="2"/>
        <v>BASE_FCP</v>
      </c>
    </row>
    <row r="9" spans="1:8" x14ac:dyDescent="0.25">
      <c r="A9" s="3" t="s">
        <v>95</v>
      </c>
      <c r="B9" s="4" t="s">
        <v>78</v>
      </c>
      <c r="C9" s="2" t="s">
        <v>82</v>
      </c>
      <c r="D9" s="2" t="s">
        <v>59</v>
      </c>
      <c r="E9" s="8">
        <v>0.02</v>
      </c>
      <c r="F9" s="2" t="str">
        <f t="shared" si="0"/>
        <v>2,00%</v>
      </c>
      <c r="G9" s="2" t="str">
        <f t="shared" si="1"/>
        <v>NUMBER(9,6)</v>
      </c>
      <c r="H9" s="2" t="str">
        <f t="shared" si="2"/>
        <v>PERCENTUAL_FCP</v>
      </c>
    </row>
    <row r="10" spans="1:8" x14ac:dyDescent="0.25">
      <c r="A10" s="3" t="s">
        <v>95</v>
      </c>
      <c r="B10" s="4" t="s">
        <v>78</v>
      </c>
      <c r="C10" s="2" t="s">
        <v>82</v>
      </c>
      <c r="D10" s="2" t="s">
        <v>60</v>
      </c>
      <c r="E10" s="2">
        <v>97.8</v>
      </c>
      <c r="F10" s="2" t="str">
        <f t="shared" si="0"/>
        <v>R$ 97,80</v>
      </c>
      <c r="G10" s="2" t="str">
        <f t="shared" si="1"/>
        <v>NUMBER(15,2)</v>
      </c>
      <c r="H10" s="2" t="str">
        <f t="shared" si="2"/>
        <v>VALOR_FCP</v>
      </c>
    </row>
    <row r="11" spans="1:8" x14ac:dyDescent="0.25">
      <c r="A11" s="3" t="s">
        <v>95</v>
      </c>
      <c r="B11" s="2" t="s">
        <v>76</v>
      </c>
      <c r="C11" s="2" t="s">
        <v>72</v>
      </c>
      <c r="D11" s="2" t="s">
        <v>16</v>
      </c>
      <c r="E11" s="7">
        <v>4009.8</v>
      </c>
      <c r="F11" s="2" t="str">
        <f t="shared" si="0"/>
        <v>R$ 4.009,80</v>
      </c>
      <c r="G11" s="2" t="str">
        <f t="shared" si="1"/>
        <v>NUMBER(15,2)</v>
      </c>
      <c r="H11" s="2" t="str">
        <f t="shared" si="2"/>
        <v>BASE_DE_CALCULO_PIS</v>
      </c>
    </row>
    <row r="12" spans="1:8" x14ac:dyDescent="0.25">
      <c r="A12" s="3" t="s">
        <v>95</v>
      </c>
      <c r="B12" s="2" t="s">
        <v>76</v>
      </c>
      <c r="C12" s="2" t="s">
        <v>72</v>
      </c>
      <c r="D12" s="2" t="s">
        <v>34</v>
      </c>
      <c r="E12" s="8">
        <v>1.6500000000000001E-2</v>
      </c>
      <c r="F12" s="2" t="str">
        <f t="shared" si="0"/>
        <v>1,65%</v>
      </c>
      <c r="G12" s="2" t="str">
        <f t="shared" si="1"/>
        <v>NUMBER(9,6)</v>
      </c>
      <c r="H12" s="2" t="str">
        <f t="shared" si="2"/>
        <v>PERCENTUAL_PIS</v>
      </c>
    </row>
    <row r="13" spans="1:8" x14ac:dyDescent="0.25">
      <c r="A13" s="3" t="s">
        <v>95</v>
      </c>
      <c r="B13" s="2" t="s">
        <v>76</v>
      </c>
      <c r="C13" s="2" t="s">
        <v>72</v>
      </c>
      <c r="D13" s="2" t="s">
        <v>17</v>
      </c>
      <c r="E13" s="2">
        <v>66.16</v>
      </c>
      <c r="F13" s="2" t="str">
        <f t="shared" si="0"/>
        <v>R$ 66,16</v>
      </c>
      <c r="G13" s="2" t="str">
        <f t="shared" si="1"/>
        <v>NUMBER(15,2)</v>
      </c>
      <c r="H13" s="2" t="str">
        <f t="shared" si="2"/>
        <v>VALOR_PIS</v>
      </c>
    </row>
    <row r="14" spans="1:8" x14ac:dyDescent="0.25">
      <c r="A14" s="3" t="s">
        <v>95</v>
      </c>
      <c r="B14" s="2" t="s">
        <v>76</v>
      </c>
      <c r="C14" s="2" t="s">
        <v>72</v>
      </c>
      <c r="D14" s="2" t="s">
        <v>35</v>
      </c>
      <c r="E14" s="7">
        <v>4009.8</v>
      </c>
      <c r="F14" s="2" t="str">
        <f t="shared" si="0"/>
        <v>R$ 4.009,80</v>
      </c>
      <c r="G14" s="2" t="str">
        <f t="shared" si="1"/>
        <v>NUMBER(15,2)</v>
      </c>
      <c r="H14" s="2" t="str">
        <f t="shared" si="2"/>
        <v>BASE_DE_CALCULO_COFINS</v>
      </c>
    </row>
    <row r="15" spans="1:8" x14ac:dyDescent="0.25">
      <c r="A15" s="3" t="s">
        <v>95</v>
      </c>
      <c r="B15" s="2" t="s">
        <v>76</v>
      </c>
      <c r="C15" s="2" t="s">
        <v>72</v>
      </c>
      <c r="D15" s="2" t="s">
        <v>18</v>
      </c>
      <c r="E15" s="2">
        <v>304.74</v>
      </c>
      <c r="F15" s="2" t="str">
        <f t="shared" si="0"/>
        <v>R$ 304,74</v>
      </c>
      <c r="G15" s="2" t="str">
        <f t="shared" si="1"/>
        <v>NUMBER(15,2)</v>
      </c>
      <c r="H15" s="2" t="str">
        <f t="shared" si="2"/>
        <v>VALOR_COFINS</v>
      </c>
    </row>
    <row r="16" spans="1:8" x14ac:dyDescent="0.25">
      <c r="A16" s="3" t="s">
        <v>95</v>
      </c>
      <c r="B16" s="2" t="s">
        <v>76</v>
      </c>
      <c r="C16" s="2" t="s">
        <v>79</v>
      </c>
      <c r="D16" s="2" t="s">
        <v>37</v>
      </c>
      <c r="E16" s="7">
        <v>4890</v>
      </c>
      <c r="F16" s="2">
        <f t="shared" si="0"/>
        <v>4890</v>
      </c>
      <c r="G16" s="2" t="str">
        <f t="shared" si="1"/>
        <v>NUMBER(15,2)</v>
      </c>
      <c r="H16" s="2" t="str">
        <f t="shared" si="2"/>
        <v>BASE_DO_CBS</v>
      </c>
    </row>
    <row r="17" spans="1:8" x14ac:dyDescent="0.25">
      <c r="A17" s="3" t="s">
        <v>95</v>
      </c>
      <c r="B17" s="2" t="s">
        <v>76</v>
      </c>
      <c r="C17" s="2" t="s">
        <v>79</v>
      </c>
      <c r="D17" s="2" t="s">
        <v>40</v>
      </c>
      <c r="E17" s="8">
        <v>8.7999999999999995E-2</v>
      </c>
      <c r="F17" s="2" t="str">
        <f t="shared" si="0"/>
        <v>8,80%</v>
      </c>
      <c r="G17" s="2" t="str">
        <f t="shared" si="1"/>
        <v>NUMBER(9,6)</v>
      </c>
      <c r="H17" s="2" t="str">
        <f t="shared" si="2"/>
        <v>PERCENTUAL_DO_CBS</v>
      </c>
    </row>
    <row r="18" spans="1:8" x14ac:dyDescent="0.25">
      <c r="A18" s="3" t="s">
        <v>95</v>
      </c>
      <c r="B18" s="2" t="s">
        <v>76</v>
      </c>
      <c r="C18" s="2" t="s">
        <v>79</v>
      </c>
      <c r="D18" s="2" t="s">
        <v>43</v>
      </c>
      <c r="E18" s="2">
        <v>430.32</v>
      </c>
      <c r="F18" s="2" t="str">
        <f t="shared" si="0"/>
        <v>R$ 430,32</v>
      </c>
      <c r="G18" s="2" t="str">
        <f t="shared" si="1"/>
        <v>NUMBER(15,2)</v>
      </c>
      <c r="H18" s="2" t="str">
        <f t="shared" si="2"/>
        <v>VALOR_DO_CBS</v>
      </c>
    </row>
    <row r="19" spans="1:8" x14ac:dyDescent="0.25">
      <c r="A19" s="3" t="s">
        <v>95</v>
      </c>
      <c r="B19" s="2" t="s">
        <v>76</v>
      </c>
      <c r="C19" s="2" t="s">
        <v>75</v>
      </c>
      <c r="D19" s="2" t="s">
        <v>55</v>
      </c>
      <c r="E19" s="7">
        <v>1250</v>
      </c>
      <c r="F19" s="2" t="str">
        <f t="shared" si="0"/>
        <v>R$ 1.250,00</v>
      </c>
      <c r="G19" s="2" t="str">
        <f t="shared" si="1"/>
        <v>NUMBER(15,2)</v>
      </c>
      <c r="H19" s="2" t="str">
        <f t="shared" si="2"/>
        <v>RETENÇÃO_BASE_IRRF</v>
      </c>
    </row>
    <row r="20" spans="1:8" x14ac:dyDescent="0.25">
      <c r="A20" s="3" t="s">
        <v>95</v>
      </c>
      <c r="B20" s="2" t="s">
        <v>76</v>
      </c>
      <c r="C20" s="2" t="s">
        <v>75</v>
      </c>
      <c r="D20" s="2" t="s">
        <v>56</v>
      </c>
      <c r="E20" s="8">
        <v>1.4999999999999999E-2</v>
      </c>
      <c r="F20" s="2" t="str">
        <f t="shared" si="0"/>
        <v>1,50%</v>
      </c>
      <c r="G20" s="2" t="str">
        <f t="shared" si="1"/>
        <v>NUMBER(9,6)</v>
      </c>
      <c r="H20" s="2" t="str">
        <f t="shared" si="2"/>
        <v>RETENÇÃO_PERCENTUAL_IRRF</v>
      </c>
    </row>
    <row r="21" spans="1:8" x14ac:dyDescent="0.25">
      <c r="A21" s="3" t="s">
        <v>95</v>
      </c>
      <c r="B21" s="2" t="s">
        <v>76</v>
      </c>
      <c r="C21" s="2" t="s">
        <v>75</v>
      </c>
      <c r="D21" s="2" t="s">
        <v>57</v>
      </c>
      <c r="E21" s="2">
        <v>18.75</v>
      </c>
      <c r="F21" s="2" t="str">
        <f t="shared" si="0"/>
        <v>R$ 18,75</v>
      </c>
      <c r="G21" s="2" t="str">
        <f t="shared" si="1"/>
        <v>NUMBER(15,2)</v>
      </c>
      <c r="H21" s="2" t="str">
        <f t="shared" si="2"/>
        <v>RETENÇÃO_VALOR_IRRF</v>
      </c>
    </row>
    <row r="22" spans="1:8" x14ac:dyDescent="0.25">
      <c r="A22" s="3" t="s">
        <v>95</v>
      </c>
      <c r="B22" s="2" t="s">
        <v>76</v>
      </c>
      <c r="C22" s="2" t="s">
        <v>75</v>
      </c>
      <c r="D22" s="2" t="s">
        <v>46</v>
      </c>
      <c r="E22" s="7">
        <v>1250</v>
      </c>
      <c r="F22" s="2">
        <f t="shared" si="0"/>
        <v>1250</v>
      </c>
      <c r="G22" s="2" t="str">
        <f t="shared" si="1"/>
        <v>NUMBER(15,2)</v>
      </c>
      <c r="H22" s="2" t="str">
        <f t="shared" si="2"/>
        <v>RETENÇÃO_BASE_CSLL</v>
      </c>
    </row>
    <row r="23" spans="1:8" x14ac:dyDescent="0.25">
      <c r="A23" s="3" t="s">
        <v>95</v>
      </c>
      <c r="B23" s="2" t="s">
        <v>76</v>
      </c>
      <c r="C23" s="2" t="s">
        <v>75</v>
      </c>
      <c r="D23" s="2" t="s">
        <v>47</v>
      </c>
      <c r="E23" s="8">
        <v>0.01</v>
      </c>
      <c r="F23" s="2" t="str">
        <f t="shared" si="0"/>
        <v>1,00%</v>
      </c>
      <c r="G23" s="2" t="str">
        <f t="shared" si="1"/>
        <v>NUMBER(9,6)</v>
      </c>
      <c r="H23" s="2" t="str">
        <f t="shared" si="2"/>
        <v>RETENÇÃO_PERCENTUAL_CSLL</v>
      </c>
    </row>
    <row r="24" spans="1:8" x14ac:dyDescent="0.25">
      <c r="A24" s="3" t="s">
        <v>95</v>
      </c>
      <c r="B24" s="2" t="s">
        <v>76</v>
      </c>
      <c r="C24" s="2" t="s">
        <v>75</v>
      </c>
      <c r="D24" s="2" t="s">
        <v>48</v>
      </c>
      <c r="E24" s="2">
        <v>12.5</v>
      </c>
      <c r="F24" s="2" t="str">
        <f t="shared" si="0"/>
        <v>R$ 12,50</v>
      </c>
      <c r="G24" s="2" t="str">
        <f t="shared" si="1"/>
        <v>NUMBER(15,2)</v>
      </c>
      <c r="H24" s="2" t="str">
        <f t="shared" si="2"/>
        <v>RETENÇÃO_VALOR_CSLL</v>
      </c>
    </row>
    <row r="25" spans="1:8" x14ac:dyDescent="0.25">
      <c r="A25" s="3" t="s">
        <v>95</v>
      </c>
      <c r="B25" s="2" t="s">
        <v>76</v>
      </c>
      <c r="C25" s="2" t="s">
        <v>75</v>
      </c>
      <c r="D25" s="2" t="s">
        <v>49</v>
      </c>
      <c r="E25" s="7">
        <v>1250</v>
      </c>
      <c r="F25" s="2" t="str">
        <f t="shared" si="0"/>
        <v>R$ 1.250,00</v>
      </c>
      <c r="G25" s="2" t="str">
        <f t="shared" si="1"/>
        <v>NUMBER(15,2)</v>
      </c>
      <c r="H25" s="2" t="str">
        <f t="shared" si="2"/>
        <v>RETENÇÃO_BASE_PIS</v>
      </c>
    </row>
    <row r="26" spans="1:8" x14ac:dyDescent="0.25">
      <c r="A26" s="3" t="s">
        <v>95</v>
      </c>
      <c r="B26" s="2" t="s">
        <v>76</v>
      </c>
      <c r="C26" s="2" t="s">
        <v>75</v>
      </c>
      <c r="D26" s="2" t="s">
        <v>50</v>
      </c>
      <c r="E26" s="8">
        <v>6.4999999999999997E-3</v>
      </c>
      <c r="F26" s="2" t="str">
        <f t="shared" si="0"/>
        <v>0,65%</v>
      </c>
      <c r="G26" s="2" t="str">
        <f t="shared" si="1"/>
        <v>NUMBER(9,6)</v>
      </c>
      <c r="H26" s="2" t="str">
        <f t="shared" si="2"/>
        <v>RETENÇÃO_PERCENTUAL_PIS</v>
      </c>
    </row>
    <row r="27" spans="1:8" x14ac:dyDescent="0.25">
      <c r="A27" s="3" t="s">
        <v>95</v>
      </c>
      <c r="B27" s="2" t="s">
        <v>76</v>
      </c>
      <c r="C27" s="2" t="s">
        <v>75</v>
      </c>
      <c r="D27" s="2" t="s">
        <v>51</v>
      </c>
      <c r="E27" s="2">
        <v>8.1300000000000008</v>
      </c>
      <c r="F27" s="2" t="str">
        <f t="shared" si="0"/>
        <v>R$ 8,13</v>
      </c>
      <c r="G27" s="2" t="str">
        <f t="shared" si="1"/>
        <v>NUMBER(15,2)</v>
      </c>
      <c r="H27" s="2" t="str">
        <f t="shared" si="2"/>
        <v>RETENÇÃO_VALOR_PIS</v>
      </c>
    </row>
    <row r="28" spans="1:8" x14ac:dyDescent="0.25">
      <c r="A28" s="3" t="s">
        <v>95</v>
      </c>
      <c r="B28" s="2" t="s">
        <v>76</v>
      </c>
      <c r="C28" s="2" t="s">
        <v>75</v>
      </c>
      <c r="D28" s="2" t="s">
        <v>52</v>
      </c>
      <c r="E28" s="7">
        <v>1250</v>
      </c>
      <c r="F28" s="2" t="str">
        <f t="shared" si="0"/>
        <v>R$ 1.250,00</v>
      </c>
      <c r="G28" s="2" t="str">
        <f t="shared" si="1"/>
        <v>NUMBER(15,2)</v>
      </c>
      <c r="H28" s="2" t="str">
        <f t="shared" si="2"/>
        <v>RETENÇÃO_BASE_COFINS</v>
      </c>
    </row>
    <row r="29" spans="1:8" x14ac:dyDescent="0.25">
      <c r="A29" s="3" t="s">
        <v>95</v>
      </c>
      <c r="B29" s="2" t="s">
        <v>76</v>
      </c>
      <c r="C29" s="2" t="s">
        <v>75</v>
      </c>
      <c r="D29" s="2" t="s">
        <v>53</v>
      </c>
      <c r="E29" s="8">
        <v>0.03</v>
      </c>
      <c r="F29" s="2" t="str">
        <f t="shared" si="0"/>
        <v>3,00%</v>
      </c>
      <c r="G29" s="2" t="str">
        <f t="shared" si="1"/>
        <v>NUMBER(9,6)</v>
      </c>
      <c r="H29" s="2" t="str">
        <f t="shared" si="2"/>
        <v>RETENÇÃO_PERCENTUAL_COFINS</v>
      </c>
    </row>
    <row r="30" spans="1:8" x14ac:dyDescent="0.25">
      <c r="A30" s="3" t="s">
        <v>95</v>
      </c>
      <c r="B30" s="2" t="s">
        <v>76</v>
      </c>
      <c r="C30" s="2" t="s">
        <v>75</v>
      </c>
      <c r="D30" s="2" t="s">
        <v>54</v>
      </c>
      <c r="E30" s="2">
        <v>37.5</v>
      </c>
      <c r="F30" s="2" t="str">
        <f t="shared" si="0"/>
        <v>R$ 37,50</v>
      </c>
      <c r="G30" s="2" t="str">
        <f t="shared" si="1"/>
        <v>NUMBER(15,2)</v>
      </c>
      <c r="H30" s="2" t="str">
        <f t="shared" si="2"/>
        <v>RETENÇÃO_VALOR_COFINS</v>
      </c>
    </row>
    <row r="31" spans="1:8" x14ac:dyDescent="0.25">
      <c r="A31" s="3" t="s">
        <v>95</v>
      </c>
      <c r="B31" s="4" t="s">
        <v>76</v>
      </c>
      <c r="C31" s="2" t="s">
        <v>82</v>
      </c>
      <c r="D31" s="2" t="s">
        <v>61</v>
      </c>
      <c r="E31" s="7">
        <v>4890</v>
      </c>
      <c r="F31" s="2">
        <f t="shared" si="0"/>
        <v>4890</v>
      </c>
      <c r="G31" s="2" t="str">
        <f t="shared" si="1"/>
        <v>NUMBER(15,2)</v>
      </c>
      <c r="H31" s="2" t="str">
        <f t="shared" si="2"/>
        <v>BASE_FUST</v>
      </c>
    </row>
    <row r="32" spans="1:8" x14ac:dyDescent="0.25">
      <c r="A32" s="3" t="s">
        <v>95</v>
      </c>
      <c r="B32" s="4" t="s">
        <v>76</v>
      </c>
      <c r="C32" s="2" t="s">
        <v>82</v>
      </c>
      <c r="D32" s="2" t="s">
        <v>62</v>
      </c>
      <c r="E32" s="8">
        <v>0.01</v>
      </c>
      <c r="F32" s="2" t="str">
        <f t="shared" si="0"/>
        <v>1,00%</v>
      </c>
      <c r="G32" s="2" t="str">
        <f t="shared" si="1"/>
        <v>NUMBER(9,6)</v>
      </c>
      <c r="H32" s="2" t="str">
        <f t="shared" si="2"/>
        <v>PERCENTUAL_FUST</v>
      </c>
    </row>
    <row r="33" spans="1:8" x14ac:dyDescent="0.25">
      <c r="A33" s="3" t="s">
        <v>95</v>
      </c>
      <c r="B33" s="4" t="s">
        <v>76</v>
      </c>
      <c r="C33" s="2" t="s">
        <v>82</v>
      </c>
      <c r="D33" s="2" t="s">
        <v>63</v>
      </c>
      <c r="E33" s="2">
        <v>48.9</v>
      </c>
      <c r="F33" s="2" t="str">
        <f t="shared" si="0"/>
        <v>R$ 48,90</v>
      </c>
      <c r="G33" s="2" t="str">
        <f t="shared" si="1"/>
        <v>NUMBER(15,2)</v>
      </c>
      <c r="H33" s="2" t="str">
        <f t="shared" si="2"/>
        <v>VALOR_FUST</v>
      </c>
    </row>
    <row r="34" spans="1:8" x14ac:dyDescent="0.25">
      <c r="A34" s="3" t="s">
        <v>95</v>
      </c>
      <c r="B34" s="4" t="s">
        <v>76</v>
      </c>
      <c r="C34" s="2" t="s">
        <v>82</v>
      </c>
      <c r="D34" s="2" t="s">
        <v>64</v>
      </c>
      <c r="E34" s="7">
        <v>4890</v>
      </c>
      <c r="F34" s="2">
        <f t="shared" si="0"/>
        <v>4890</v>
      </c>
      <c r="G34" s="2" t="str">
        <f t="shared" si="1"/>
        <v>NUMBER(15,2)</v>
      </c>
      <c r="H34" s="2" t="str">
        <f t="shared" si="2"/>
        <v>BASE_FUNTTEL</v>
      </c>
    </row>
    <row r="35" spans="1:8" x14ac:dyDescent="0.25">
      <c r="A35" s="3" t="s">
        <v>95</v>
      </c>
      <c r="B35" s="4" t="s">
        <v>76</v>
      </c>
      <c r="C35" s="2" t="s">
        <v>82</v>
      </c>
      <c r="D35" s="2" t="s">
        <v>65</v>
      </c>
      <c r="E35" s="8">
        <v>5.0000000000000001E-3</v>
      </c>
      <c r="F35" s="2" t="str">
        <f t="shared" si="0"/>
        <v>0,50%</v>
      </c>
      <c r="G35" s="2" t="str">
        <f t="shared" si="1"/>
        <v>NUMBER(9,6)</v>
      </c>
      <c r="H35" s="2" t="str">
        <f t="shared" si="2"/>
        <v>PERCENTUAL_FUNTTEL</v>
      </c>
    </row>
    <row r="36" spans="1:8" x14ac:dyDescent="0.25">
      <c r="A36" s="3" t="s">
        <v>95</v>
      </c>
      <c r="B36" s="4" t="s">
        <v>76</v>
      </c>
      <c r="C36" s="2" t="s">
        <v>82</v>
      </c>
      <c r="D36" s="2" t="s">
        <v>66</v>
      </c>
      <c r="E36" s="2">
        <v>24.45</v>
      </c>
      <c r="F36" s="2" t="str">
        <f t="shared" si="0"/>
        <v>R$ 24,45</v>
      </c>
      <c r="G36" s="2" t="str">
        <f t="shared" si="1"/>
        <v>NUMBER(15,2)</v>
      </c>
      <c r="H36" s="2" t="str">
        <f t="shared" si="2"/>
        <v>VALOR_FUNTTEL</v>
      </c>
    </row>
    <row r="37" spans="1:8" x14ac:dyDescent="0.25">
      <c r="A37" s="3" t="s">
        <v>95</v>
      </c>
      <c r="B37" s="5" t="s">
        <v>94</v>
      </c>
      <c r="C37" s="4" t="s">
        <v>83</v>
      </c>
      <c r="D37" s="2" t="s">
        <v>67</v>
      </c>
      <c r="E37" s="2">
        <v>5307</v>
      </c>
      <c r="F37" s="2">
        <f t="shared" si="0"/>
        <v>5307</v>
      </c>
      <c r="G37" s="2" t="str">
        <f t="shared" si="1"/>
        <v>NUMBER</v>
      </c>
      <c r="H37" s="2" t="str">
        <f t="shared" si="2"/>
        <v>CFOP</v>
      </c>
    </row>
    <row r="38" spans="1:8" x14ac:dyDescent="0.25">
      <c r="A38" s="3" t="s">
        <v>95</v>
      </c>
      <c r="B38" s="2" t="s">
        <v>77</v>
      </c>
      <c r="C38" s="2" t="s">
        <v>73</v>
      </c>
      <c r="D38" s="2" t="s">
        <v>19</v>
      </c>
      <c r="E38" s="7">
        <v>1250</v>
      </c>
      <c r="F38" s="2" t="str">
        <f t="shared" si="0"/>
        <v>R$ 1.250,00</v>
      </c>
      <c r="G38" s="2" t="str">
        <f t="shared" si="1"/>
        <v>NUMBER(15,2)</v>
      </c>
      <c r="H38" s="2" t="str">
        <f t="shared" si="2"/>
        <v>BASE_DE_CALCULO_ISS</v>
      </c>
    </row>
    <row r="39" spans="1:8" x14ac:dyDescent="0.25">
      <c r="A39" s="3" t="s">
        <v>95</v>
      </c>
      <c r="B39" s="2" t="s">
        <v>77</v>
      </c>
      <c r="C39" s="2" t="s">
        <v>73</v>
      </c>
      <c r="D39" s="2" t="s">
        <v>20</v>
      </c>
      <c r="E39" s="8">
        <v>0.02</v>
      </c>
      <c r="F39" s="2" t="str">
        <f t="shared" si="0"/>
        <v>2,00%</v>
      </c>
      <c r="G39" s="2" t="str">
        <f t="shared" si="1"/>
        <v>NUMBER(9,6)</v>
      </c>
      <c r="H39" s="2" t="str">
        <f t="shared" si="2"/>
        <v>PERCENTUAL_ISS</v>
      </c>
    </row>
    <row r="40" spans="1:8" x14ac:dyDescent="0.25">
      <c r="A40" s="3" t="s">
        <v>95</v>
      </c>
      <c r="B40" s="2" t="s">
        <v>77</v>
      </c>
      <c r="C40" s="2" t="s">
        <v>73</v>
      </c>
      <c r="D40" s="2" t="s">
        <v>21</v>
      </c>
      <c r="E40" s="2">
        <v>25</v>
      </c>
      <c r="F40" s="2" t="str">
        <f t="shared" si="0"/>
        <v>R$ 25,00</v>
      </c>
      <c r="G40" s="2" t="str">
        <f t="shared" si="1"/>
        <v>NUMBER(15,2)</v>
      </c>
      <c r="H40" s="2" t="str">
        <f t="shared" si="2"/>
        <v>VALOR_ISS</v>
      </c>
    </row>
    <row r="41" spans="1:8" x14ac:dyDescent="0.25">
      <c r="A41" s="3" t="s">
        <v>95</v>
      </c>
      <c r="B41" s="2" t="s">
        <v>77</v>
      </c>
      <c r="C41" s="2" t="s">
        <v>73</v>
      </c>
      <c r="D41" s="2" t="s">
        <v>36</v>
      </c>
      <c r="E41" s="2" t="s">
        <v>97</v>
      </c>
      <c r="F41" s="2" t="str">
        <f t="shared" si="0"/>
        <v>1.07</v>
      </c>
      <c r="G41" s="2" t="str">
        <f t="shared" si="1"/>
        <v>VARCHAR2(255 CHAR)</v>
      </c>
      <c r="H41" s="2" t="str">
        <f t="shared" si="2"/>
        <v>CÓDIGO_LC_116</v>
      </c>
    </row>
    <row r="42" spans="1:8" x14ac:dyDescent="0.25">
      <c r="A42" s="3" t="s">
        <v>95</v>
      </c>
      <c r="B42" s="2" t="s">
        <v>77</v>
      </c>
      <c r="C42" s="2" t="s">
        <v>80</v>
      </c>
      <c r="D42" s="2" t="s">
        <v>39</v>
      </c>
      <c r="E42" s="7">
        <v>1250</v>
      </c>
      <c r="F42" s="2">
        <f t="shared" si="0"/>
        <v>1250</v>
      </c>
      <c r="G42" s="2" t="str">
        <f t="shared" si="1"/>
        <v>NUMBER(15,2)</v>
      </c>
      <c r="H42" s="2" t="str">
        <f t="shared" si="2"/>
        <v>BASE_DO_IBS_MUNICIPAL</v>
      </c>
    </row>
    <row r="43" spans="1:8" x14ac:dyDescent="0.25">
      <c r="A43" s="3" t="s">
        <v>95</v>
      </c>
      <c r="B43" s="2" t="s">
        <v>77</v>
      </c>
      <c r="C43" s="2" t="s">
        <v>80</v>
      </c>
      <c r="D43" s="2" t="s">
        <v>41</v>
      </c>
      <c r="E43" s="8">
        <v>8.1000000000000003E-2</v>
      </c>
      <c r="F43" s="2" t="str">
        <f t="shared" si="0"/>
        <v>8,10%</v>
      </c>
      <c r="G43" s="2" t="str">
        <f t="shared" si="1"/>
        <v>NUMBER(9,6)</v>
      </c>
      <c r="H43" s="2" t="str">
        <f t="shared" si="2"/>
        <v>PERCENTUAL_DO_IBS_MUNICIPAL</v>
      </c>
    </row>
    <row r="44" spans="1:8" x14ac:dyDescent="0.25">
      <c r="A44" s="3" t="s">
        <v>95</v>
      </c>
      <c r="B44" s="2" t="s">
        <v>77</v>
      </c>
      <c r="C44" s="2" t="s">
        <v>80</v>
      </c>
      <c r="D44" s="2" t="s">
        <v>44</v>
      </c>
      <c r="E44" s="2">
        <v>101.25</v>
      </c>
      <c r="F44" s="2" t="str">
        <f t="shared" si="0"/>
        <v>R$ 101,25</v>
      </c>
      <c r="G44" s="2" t="str">
        <f t="shared" si="1"/>
        <v>NUMBER(15,2)</v>
      </c>
      <c r="H44" s="2" t="str">
        <f t="shared" si="2"/>
        <v>VALOR_DO_IBS_MUNICIPAL</v>
      </c>
    </row>
    <row r="45" spans="1:8" x14ac:dyDescent="0.25">
      <c r="A45" s="2" t="s">
        <v>92</v>
      </c>
      <c r="B45" s="2" t="s">
        <v>86</v>
      </c>
      <c r="C45" s="6" t="s">
        <v>23</v>
      </c>
      <c r="D45" s="6" t="s">
        <v>24</v>
      </c>
      <c r="E45" s="2" t="s">
        <v>98</v>
      </c>
      <c r="F45" s="2" t="str">
        <f t="shared" si="0"/>
        <v>faturamento@grupoorizon.com.br</v>
      </c>
      <c r="G45" s="2" t="str">
        <f t="shared" si="1"/>
        <v>VARCHAR2(255 CHAR)</v>
      </c>
      <c r="H45" s="2" t="str">
        <f t="shared" si="2"/>
        <v>EMAIL</v>
      </c>
    </row>
    <row r="46" spans="1:8" x14ac:dyDescent="0.25">
      <c r="A46" s="2" t="s">
        <v>92</v>
      </c>
      <c r="B46" s="2" t="s">
        <v>86</v>
      </c>
      <c r="C46" s="6" t="s">
        <v>23</v>
      </c>
      <c r="D46" s="6" t="s">
        <v>109</v>
      </c>
      <c r="E46" s="2">
        <v>1132547800</v>
      </c>
      <c r="F46" s="2">
        <f t="shared" si="0"/>
        <v>1132547800</v>
      </c>
      <c r="G46" s="2" t="str">
        <f t="shared" si="1"/>
        <v>VARCHAR2(255 CHAR)</v>
      </c>
      <c r="H46" s="2" t="str">
        <f t="shared" si="2"/>
        <v>TELEFONE_CELULAR</v>
      </c>
    </row>
    <row r="47" spans="1:8" x14ac:dyDescent="0.25">
      <c r="A47" s="2" t="s">
        <v>92</v>
      </c>
      <c r="B47" s="2" t="s">
        <v>86</v>
      </c>
      <c r="C47" s="6" t="s">
        <v>23</v>
      </c>
      <c r="D47" s="6" t="s">
        <v>25</v>
      </c>
      <c r="E47" s="2" t="s">
        <v>99</v>
      </c>
      <c r="F47" s="2" t="str">
        <f t="shared" si="0"/>
        <v>Avenida das Nações Unidas, 12995 - 18º andar - Brooklin - São Paulo/SP - CEP 04578-000</v>
      </c>
      <c r="G47" s="2" t="str">
        <f t="shared" si="1"/>
        <v>VARCHAR2(255 CHAR)</v>
      </c>
      <c r="H47" s="2" t="str">
        <f t="shared" si="2"/>
        <v>ENDERECO_DE_COBRANCA</v>
      </c>
    </row>
    <row r="48" spans="1:8" x14ac:dyDescent="0.25">
      <c r="A48" s="2" t="s">
        <v>92</v>
      </c>
      <c r="B48" s="2" t="s">
        <v>86</v>
      </c>
      <c r="C48" s="6" t="s">
        <v>22</v>
      </c>
      <c r="D48" s="6" t="s">
        <v>68</v>
      </c>
      <c r="E48" s="2" t="s">
        <v>100</v>
      </c>
      <c r="F48" s="2" t="str">
        <f t="shared" si="0"/>
        <v>Cliente B2B com faturamento centralizado. Validar contrato master, centro de custo e unidade tomadora antes da emissão.</v>
      </c>
      <c r="G48" s="2" t="str">
        <f t="shared" si="1"/>
        <v>VARCHAR2(255 CHAR)</v>
      </c>
      <c r="H48" s="2" t="str">
        <f t="shared" si="2"/>
        <v>MENSAGEM_IMPORTANTE_PARA_VOCÊ</v>
      </c>
    </row>
    <row r="49" spans="1:8" x14ac:dyDescent="0.25">
      <c r="A49" s="2" t="s">
        <v>92</v>
      </c>
      <c r="B49" s="2" t="s">
        <v>86</v>
      </c>
      <c r="C49" s="6" t="s">
        <v>22</v>
      </c>
      <c r="D49" s="6" t="s">
        <v>69</v>
      </c>
      <c r="E49" s="2" t="s">
        <v>101</v>
      </c>
      <c r="F49" s="2" t="str">
        <f t="shared" si="0"/>
        <v>Mariana Alves Costa</v>
      </c>
      <c r="G49" s="2" t="str">
        <f t="shared" si="1"/>
        <v>VARCHAR2(255 CHAR)</v>
      </c>
      <c r="H49" s="2" t="str">
        <f t="shared" si="2"/>
        <v>NOME_SOLICITANTE</v>
      </c>
    </row>
    <row r="50" spans="1:8" x14ac:dyDescent="0.25">
      <c r="A50" s="2" t="s">
        <v>92</v>
      </c>
      <c r="B50" s="2" t="s">
        <v>86</v>
      </c>
      <c r="C50" s="6" t="s">
        <v>22</v>
      </c>
      <c r="D50" s="6" t="s">
        <v>70</v>
      </c>
      <c r="E50" s="2" t="s">
        <v>102</v>
      </c>
      <c r="F50" s="2" t="str">
        <f t="shared" si="0"/>
        <v>mariana.costa@grupoorizon.com.br</v>
      </c>
      <c r="G50" s="2" t="str">
        <f t="shared" si="1"/>
        <v>VARCHAR2(255 CHAR)</v>
      </c>
      <c r="H50" s="2" t="str">
        <f t="shared" si="2"/>
        <v>E_MAIL_SOLICITANTE</v>
      </c>
    </row>
    <row r="51" spans="1:8" x14ac:dyDescent="0.25">
      <c r="A51" s="2" t="s">
        <v>92</v>
      </c>
      <c r="B51" s="2" t="s">
        <v>86</v>
      </c>
      <c r="C51" s="6" t="s">
        <v>22</v>
      </c>
      <c r="D51" s="6" t="s">
        <v>71</v>
      </c>
      <c r="E51" s="2">
        <v>1132547812</v>
      </c>
      <c r="F51" s="2">
        <f t="shared" si="0"/>
        <v>1132547812</v>
      </c>
      <c r="G51" s="2" t="str">
        <f t="shared" si="1"/>
        <v>VARCHAR2(255 CHAR)</v>
      </c>
      <c r="H51" s="2" t="str">
        <f t="shared" si="2"/>
        <v>TELEFONE_SOLICITANTE</v>
      </c>
    </row>
    <row r="52" spans="1:8" x14ac:dyDescent="0.25">
      <c r="A52" s="2" t="s">
        <v>92</v>
      </c>
      <c r="B52" s="2" t="s">
        <v>87</v>
      </c>
      <c r="C52" s="6" t="s">
        <v>26</v>
      </c>
      <c r="D52" s="6" t="s">
        <v>27</v>
      </c>
      <c r="E52" s="2">
        <v>2201487635</v>
      </c>
      <c r="F52" s="2">
        <f t="shared" si="0"/>
        <v>2201487635</v>
      </c>
      <c r="G52" s="2" t="str">
        <f t="shared" si="1"/>
        <v>VARCHAR2(255 CHAR)</v>
      </c>
      <c r="H52" s="2" t="str">
        <f t="shared" si="2"/>
        <v>NUMERO_DA_CONTA</v>
      </c>
    </row>
    <row r="53" spans="1:8" x14ac:dyDescent="0.25">
      <c r="A53" s="2" t="s">
        <v>92</v>
      </c>
      <c r="B53" s="2" t="s">
        <v>87</v>
      </c>
      <c r="C53" s="6" t="s">
        <v>26</v>
      </c>
      <c r="D53" s="6" t="s">
        <v>28</v>
      </c>
      <c r="E53" s="2">
        <v>3.6204578190342099E+17</v>
      </c>
      <c r="F53" s="2">
        <f t="shared" si="0"/>
        <v>3.6204578190342099E+17</v>
      </c>
      <c r="G53" s="2" t="str">
        <f t="shared" si="1"/>
        <v>VARCHAR2(255 CHAR)</v>
      </c>
      <c r="H53" s="2" t="str">
        <f t="shared" si="2"/>
        <v>NUMERO_DA_INVOICE</v>
      </c>
    </row>
    <row r="54" spans="1:8" x14ac:dyDescent="0.25">
      <c r="A54" s="2" t="s">
        <v>92</v>
      </c>
      <c r="B54" s="2" t="s">
        <v>87</v>
      </c>
      <c r="C54" s="6" t="s">
        <v>26</v>
      </c>
      <c r="D54" s="6" t="s">
        <v>29</v>
      </c>
      <c r="E54" s="2">
        <v>1776934210</v>
      </c>
      <c r="F54" s="2">
        <f t="shared" si="0"/>
        <v>1776934210</v>
      </c>
      <c r="G54" s="2" t="str">
        <f t="shared" si="1"/>
        <v>VARCHAR2(255 CHAR)</v>
      </c>
      <c r="H54" s="2" t="str">
        <f t="shared" si="2"/>
        <v>NUMERO_DO_CONTRATO_PRINCIPAL</v>
      </c>
    </row>
    <row r="55" spans="1:8" x14ac:dyDescent="0.25">
      <c r="A55" s="2" t="s">
        <v>92</v>
      </c>
      <c r="B55" s="2" t="s">
        <v>87</v>
      </c>
      <c r="C55" s="6" t="s">
        <v>26</v>
      </c>
      <c r="D55" s="6" t="s">
        <v>30</v>
      </c>
      <c r="E55" s="9">
        <v>46143</v>
      </c>
      <c r="F55" s="2">
        <f t="shared" si="0"/>
        <v>46143</v>
      </c>
      <c r="G55" s="2" t="str">
        <f t="shared" si="1"/>
        <v>NUMBER</v>
      </c>
      <c r="H55" s="2" t="str">
        <f t="shared" si="2"/>
        <v>MES_ANO_DE_REFERENCIA</v>
      </c>
    </row>
    <row r="56" spans="1:8" x14ac:dyDescent="0.25">
      <c r="A56" s="2" t="s">
        <v>92</v>
      </c>
      <c r="B56" s="2" t="s">
        <v>87</v>
      </c>
      <c r="C56" s="6" t="s">
        <v>26</v>
      </c>
      <c r="D56" s="6" t="s">
        <v>31</v>
      </c>
      <c r="E56" s="2" t="s">
        <v>103</v>
      </c>
      <c r="F56" s="2" t="str">
        <f t="shared" si="0"/>
        <v>2026-05-01 a 2026-05-31</v>
      </c>
      <c r="G56" s="2" t="str">
        <f t="shared" si="1"/>
        <v>DATE</v>
      </c>
      <c r="H56" s="2" t="str">
        <f t="shared" si="2"/>
        <v>PERIODO_DE_APURACAO</v>
      </c>
    </row>
    <row r="57" spans="1:8" x14ac:dyDescent="0.25">
      <c r="A57" s="2" t="s">
        <v>92</v>
      </c>
      <c r="B57" s="2" t="s">
        <v>87</v>
      </c>
      <c r="C57" s="6" t="s">
        <v>32</v>
      </c>
      <c r="D57" s="6" t="s">
        <v>2</v>
      </c>
      <c r="E57" s="10">
        <v>46188</v>
      </c>
      <c r="F57" s="2" t="str">
        <f t="shared" si="0"/>
        <v>15/06/2026</v>
      </c>
      <c r="G57" s="2" t="str">
        <f t="shared" si="1"/>
        <v>DATE</v>
      </c>
      <c r="H57" s="2" t="str">
        <f t="shared" si="2"/>
        <v>DATA_DE_VENCIMENTO</v>
      </c>
    </row>
    <row r="58" spans="1:8" x14ac:dyDescent="0.25">
      <c r="A58" s="2" t="s">
        <v>92</v>
      </c>
      <c r="B58" s="2" t="s">
        <v>87</v>
      </c>
      <c r="C58" s="6" t="s">
        <v>32</v>
      </c>
      <c r="D58" s="6" t="s">
        <v>3</v>
      </c>
      <c r="E58" s="2">
        <v>8.46700000561221E+46</v>
      </c>
      <c r="F58" s="2">
        <f t="shared" si="0"/>
        <v>8.46700000561221E+46</v>
      </c>
      <c r="G58" s="2" t="str">
        <f t="shared" si="1"/>
        <v>VARCHAR2(255 CHAR)</v>
      </c>
      <c r="H58" s="2" t="str">
        <f t="shared" si="2"/>
        <v>CODIGO_DE_BARRAS</v>
      </c>
    </row>
    <row r="59" spans="1:8" x14ac:dyDescent="0.25">
      <c r="A59" s="2" t="s">
        <v>92</v>
      </c>
      <c r="B59" s="2" t="s">
        <v>87</v>
      </c>
      <c r="C59" s="6" t="s">
        <v>32</v>
      </c>
      <c r="D59" s="6" t="s">
        <v>33</v>
      </c>
      <c r="E59" s="7">
        <v>5612.95</v>
      </c>
      <c r="F59" s="2" t="str">
        <f t="shared" si="0"/>
        <v>R$ 5.612,95</v>
      </c>
      <c r="G59" s="2" t="str">
        <f t="shared" si="1"/>
        <v>NUMBER(15,2)</v>
      </c>
      <c r="H59" s="2" t="str">
        <f t="shared" si="2"/>
        <v>TOTAL_A_PAGAR</v>
      </c>
    </row>
    <row r="60" spans="1:8" x14ac:dyDescent="0.25">
      <c r="A60" s="2" t="s">
        <v>92</v>
      </c>
      <c r="B60" s="2" t="s">
        <v>88</v>
      </c>
      <c r="C60" s="6" t="s">
        <v>4</v>
      </c>
      <c r="D60" s="6" t="s">
        <v>5</v>
      </c>
      <c r="E60" s="2" t="s">
        <v>104</v>
      </c>
      <c r="F60" s="2" t="str">
        <f t="shared" si="0"/>
        <v>BRMIPCONNECT500</v>
      </c>
      <c r="G60" s="2" t="str">
        <f t="shared" si="1"/>
        <v>VARCHAR2(255 CHAR)</v>
      </c>
      <c r="H60" s="2" t="str">
        <f t="shared" si="2"/>
        <v>CODIGO_DO_ITEM</v>
      </c>
    </row>
    <row r="61" spans="1:8" x14ac:dyDescent="0.25">
      <c r="A61" s="2" t="s">
        <v>92</v>
      </c>
      <c r="B61" s="2" t="s">
        <v>88</v>
      </c>
      <c r="C61" s="6" t="s">
        <v>4</v>
      </c>
      <c r="D61" s="6" t="s">
        <v>6</v>
      </c>
      <c r="E61" s="2" t="s">
        <v>105</v>
      </c>
      <c r="F61" s="2" t="str">
        <f t="shared" si="0"/>
        <v>Link Dedicado 500 Mbps Corporativo</v>
      </c>
      <c r="G61" s="2" t="str">
        <f t="shared" si="1"/>
        <v>VARCHAR2(255 CHAR)</v>
      </c>
      <c r="H61" s="2" t="str">
        <f t="shared" si="2"/>
        <v>DESCRICAO_COMERCIAL</v>
      </c>
    </row>
    <row r="62" spans="1:8" x14ac:dyDescent="0.25">
      <c r="A62" s="2" t="s">
        <v>92</v>
      </c>
      <c r="B62" s="2" t="s">
        <v>88</v>
      </c>
      <c r="C62" s="6" t="s">
        <v>4</v>
      </c>
      <c r="D62" s="6" t="s">
        <v>7</v>
      </c>
      <c r="E62" s="2" t="s">
        <v>106</v>
      </c>
      <c r="F62" s="2" t="str">
        <f t="shared" si="0"/>
        <v>CONNECT EMPRESAS 500M</v>
      </c>
      <c r="G62" s="2" t="str">
        <f t="shared" si="1"/>
        <v>VARCHAR2(255 CHAR)</v>
      </c>
      <c r="H62" s="2" t="str">
        <f t="shared" si="2"/>
        <v>CONCEITO_FATURAVEL</v>
      </c>
    </row>
    <row r="63" spans="1:8" x14ac:dyDescent="0.25">
      <c r="A63" s="2" t="s">
        <v>92</v>
      </c>
      <c r="B63" s="2" t="s">
        <v>88</v>
      </c>
      <c r="C63" s="6" t="s">
        <v>4</v>
      </c>
      <c r="D63" s="6" t="s">
        <v>8</v>
      </c>
      <c r="E63" s="2" t="s">
        <v>107</v>
      </c>
      <c r="F63" s="2" t="str">
        <f t="shared" si="0"/>
        <v>Conectividade Empresarial</v>
      </c>
      <c r="G63" s="2" t="str">
        <f t="shared" si="1"/>
        <v>VARCHAR2(255 CHAR)</v>
      </c>
      <c r="H63" s="2" t="str">
        <f t="shared" si="2"/>
        <v>FAMILIA_DE_PRODUTOS</v>
      </c>
    </row>
    <row r="64" spans="1:8" x14ac:dyDescent="0.25">
      <c r="A64" s="2" t="s">
        <v>92</v>
      </c>
      <c r="B64" s="2" t="s">
        <v>88</v>
      </c>
      <c r="C64" s="6" t="s">
        <v>4</v>
      </c>
      <c r="D64" s="6" t="s">
        <v>9</v>
      </c>
      <c r="E64" s="2">
        <v>1776934218</v>
      </c>
      <c r="F64" s="2">
        <f t="shared" si="0"/>
        <v>1776934218</v>
      </c>
      <c r="G64" s="2" t="str">
        <f t="shared" si="1"/>
        <v>VARCHAR2(255 CHAR)</v>
      </c>
      <c r="H64" s="2" t="str">
        <f t="shared" si="2"/>
        <v>NUMERO_DO_CONTRATO_DO_ITEM</v>
      </c>
    </row>
    <row r="65" spans="1:8" x14ac:dyDescent="0.25">
      <c r="A65" s="2" t="s">
        <v>92</v>
      </c>
      <c r="B65" s="2" t="s">
        <v>88</v>
      </c>
      <c r="C65" s="6" t="s">
        <v>4</v>
      </c>
      <c r="D65" s="6" t="s">
        <v>10</v>
      </c>
      <c r="E65" s="2">
        <v>1</v>
      </c>
      <c r="F65" s="2">
        <f t="shared" si="0"/>
        <v>1</v>
      </c>
      <c r="G65" s="2" t="str">
        <f t="shared" si="1"/>
        <v>VARCHAR2(255 CHAR)</v>
      </c>
      <c r="H65" s="2" t="str">
        <f t="shared" si="2"/>
        <v>QUANTIDADE_FATURADA</v>
      </c>
    </row>
    <row r="66" spans="1:8" x14ac:dyDescent="0.25">
      <c r="A66" s="2" t="s">
        <v>92</v>
      </c>
      <c r="B66" s="2" t="s">
        <v>88</v>
      </c>
      <c r="C66" s="6" t="s">
        <v>4</v>
      </c>
      <c r="D66" s="6" t="s">
        <v>11</v>
      </c>
      <c r="E66" s="7">
        <v>4890</v>
      </c>
      <c r="F66" s="2">
        <f t="shared" si="0"/>
        <v>4890</v>
      </c>
      <c r="G66" s="2" t="str">
        <f t="shared" si="1"/>
        <v>NUMBER</v>
      </c>
      <c r="H66" s="2" t="str">
        <f t="shared" si="2"/>
        <v>PRECO_UNITARIO</v>
      </c>
    </row>
    <row r="67" spans="1:8" x14ac:dyDescent="0.25">
      <c r="A67" s="2" t="s">
        <v>92</v>
      </c>
      <c r="B67" s="2" t="s">
        <v>88</v>
      </c>
      <c r="C67" s="6" t="s">
        <v>4</v>
      </c>
      <c r="D67" s="6" t="s">
        <v>12</v>
      </c>
      <c r="E67" s="7">
        <v>4890</v>
      </c>
      <c r="F67" s="2" t="str">
        <f t="shared" ref="F67:F71" si="3">_xlfn.LET(
_xlpm.campo,UPPER(D67),
_xlpm.valor,E67,
_xlpm.ehPercentual,OR(
ISNUMBER(FIND("PERCENTUAL",_xlpm.campo)),
ISNUMBER(FIND("ALÍQUOTA",_xlpm.campo)),
ISNUMBER(FIND("ALIQUOTA",_xlpm.campo)),
ISNUMBER(FIND("%",_xlpm.campo))
),
_xlpm.ehTelefone,OR(
ISNUMBER(FIND("TELEFONE",_xlpm.campo)),
ISNUMBER(FIND("CELULAR",_xlpm.campo)),
ISNUMBER(FIND("FONE",_xlpm.campo)),
ISNUMBER(FIND("DDD",_xlpm.campo))
),
_xlpm.ehDocumento,OR(
ISNUMBER(FIND("CNPJ",_xlpm.campo)),
ISNUMBER(FIND("CPF",_xlpm.campo))
),
_xlpm.ehCEP,ISNUMBER(FIND("CEP",_xlpm.campo)),
_xlpm.ehIdentificador,OR(
ISNUMBER(FIND("NÚMERO",_xlpm.campo)),
ISNUMBER(FIND("NUMERO",_xlpm.campo)),
ISNUMBER(FIND("CONTA",_xlpm.campo)),
ISNUMBER(FIND("FATURA",_xlpm.campo)),
ISNUMBER(FIND("NOTA",_xlpm.campo)),
ISNUMBER(FIND("NF",_xlpm.campo)),
ISNUMBER(FIND("NFST",_xlpm.campo)),
ISNUMBER(FIND("SÉRIE",_xlpm.campo)),
ISNUMBER(FIND("SERIE",_xlpm.campo)),
ISNUMBER(FIND("CÓDIGO",_xlpm.campo)),
ISNUMBER(FIND("CODIGO",_xlpm.campo)),
ISNUMBER(FIND("ID",_xlpm.campo)),
ISNUMBER(FIND("CHAVE",_xlpm.campo)),
ISNUMBER(FIND("PROTOCOLO",_xlpm.campo)),
ISNUMBER(FIND("INSCRIÇÃO",_xlpm.campo)),
ISNUMBER(FIND("INSCRICAO",_xlpm.campo))
),
_xlpm.ehData,OR(
ISNUMBER(FIND("DATA",_xlpm.campo)),
ISNUMBER(FIND("VENCIMENTO",_xlpm.campo)),
ISNUMBER(FIND("EMISSÃO",_xlpm.campo)),
ISNUMBER(FIND("EMISSAO",_xlpm.campo)),
ISNUMBER(FIND("PERÍODO",_xlpm.campo)),
ISNUMBER(FIND("PERIODO",_xlpm.campo)),
ISNUMBER(FIND("APURAÇÃO",_xlpm.campo)),
ISNUMBER(FIND("APURACAO",_xlpm.campo))
),
_xlpm.ehMoeda,OR(
ISNUMBER(FIND("VALOR",_xlpm.campo)),
ISNUMBER(FIND("TOTAL",_xlpm.campo)),
ISNUMBER(FIND("BASE DE CALCULO",_xlpm.campo)),
ISNUMBER(FIND("BASE DE CÁLCULO",_xlpm.campo)),
ISNUMBER(FIND("BASE ICMS",_xlpm.campo)),
ISNUMBER(FIND("BASE IBS",_xlpm.campo)),
ISNUMBER(FIND("BASE CBS",_xlpm.campo)),
ISNUMBER(FIND("BASE FCP",_xlpm.campo)),
ISNUMBER(FIND("BASE PIS",_xlpm.campo)),
ISNUMBER(FIND("BASE COFINS",_xlpm.campo)),
ISNUMBER(FIND("BASE IRRF",_xlpm.campo)),
ISNUMBER(FIND("DESCONTO",_xlpm.campo)),
ISNUMBER(FIND("JUROS",_xlpm.campo)),
ISNUMBER(FIND("MULTA",_xlpm.campo)),
ISNUMBER(FIND("ENCARGO",_xlpm.campo)),
ISNUMBER(FIND("SALDO",_xlpm.campo))
),
_xlpm.ehQuantidade,OR(
ISNUMBER(FIND("QUANTIDADE",_xlpm.campo)),
ISNUMBER(FIND("QTD",_xlpm.campo))
),
IF(_xlpm.ehPercentual,
IFERROR(TEXT(IF(_xlpm.valor&gt;1,_xlpm.valor/100,_xlpm.valor),"0,00%"),_xlpm.valor),
IF(_xlpm.ehTelefone,
_xlpm.valor,
IF(_xlpm.ehDocumento,
_xlpm.valor,
IF(_xlpm.ehCEP,
_xlpm.valor,
IF(_xlpm.ehIdentificador,
_xlpm.valor,
IF(_xlpm.ehData,
IFERROR(TEXT(_xlpm.valor,"DD/MM/AAAA"),_xlpm.valor),
IF(_xlpm.ehMoeda,
IFERROR(TEXT(_xlpm.valor,"R$ #.##0,00"),_xlpm.valor),
IF(_xlpm.ehQuantidade,
IFERROR(TEXT(_xlpm.valor,"#.##0"),_xlpm.valor),
_xlpm.valor))))))))
)</f>
        <v>R$ 4.890,00</v>
      </c>
      <c r="G67" s="2" t="str">
        <f t="shared" ref="G67:G71" si="4">_xlfn.LET(
_xlpm.campo,UPPER(D67),
_xlpm.valor,E67,
_xlpm.ehPercentual,OR(
ISNUMBER(FIND("PERCENTUAL",_xlpm.campo)),
ISNUMBER(FIND("ALÍQUOTA",_xlpm.campo)),
ISNUMBER(FIND("ALIQUOTA",_xlpm.campo)),
ISNUMBER(FIND("TAXA",_xlpm.campo))
),
_xlpm.ehData,OR(
ISNUMBER(FIND("DATA",_xlpm.campo)),
ISNUMBER(FIND("VENCIMENTO",_xlpm.campo)),
ISNUMBER(FIND("EMISSÃO",_xlpm.campo)),
ISNUMBER(FIND("EMISSAO",_xlpm.campo)),
ISNUMBER(FIND("PERÍODO",_xlpm.campo)),
ISNUMBER(FIND("PERIODO",_xlpm.campo)),
ISNUMBER(FIND("APURAÇÃO",_xlpm.campo)),
ISNUMBER(FIND("APURACAO",_xlpm.campo))
),
_xlpm.ehIdentificador,OR(
ISNUMBER(FIND("NÚMERO",_xlpm.campo)),
ISNUMBER(FIND("NUMERO",_xlpm.campo)),
ISNUMBER(FIND("CONTA",_xlpm.campo)),
ISNUMBER(FIND("FATURA",_xlpm.campo)),
ISNUMBER(FIND("NOTA",_xlpm.campo)),
ISNUMBER(FIND("NF",_xlpm.campo)),
ISNUMBER(FIND("NFST",_xlpm.campo)),
ISNUMBER(FIND("SÉRIE",_xlpm.campo)),
ISNUMBER(FIND("SERIE",_xlpm.campo)),
ISNUMBER(FIND("CÓDIGO",_xlpm.campo)),
ISNUMBER(FIND("CODIGO",_xlpm.campo)),
ISNUMBER(FIND("ID",_xlpm.campo)),
ISNUMBER(FIND("CHAVE",_xlpm.campo)),
ISNUMBER(FIND("PROTOCOLO",_xlpm.campo)),
ISNUMBER(FIND("INSCRIÇÃO",_xlpm.campo)),
ISNUMBER(FIND("INSCRICAO",_xlpm.campo))
),
_xlpm.ehDocumento,OR(
ISNUMBER(FIND("CNPJ",_xlpm.campo)),
ISNUMBER(FIND("CPF",_xlpm.campo)),
ISNUMBER(FIND("DOCUMENTO",_xlpm.campo))
),
_xlpm.ehTelefone,OR(
ISNUMBER(FIND("TELEFONE",_xlpm.campo)),
ISNUMBER(FIND("CELULAR",_xlpm.campo)),
ISNUMBER(FIND("FONE",_xlpm.campo)),
ISNUMBER(FIND("DDD",_xlpm.campo))
),
_xlpm.ehEndereco,OR(
ISNUMBER(FIND("CEP",_xlpm.campo)),
ISNUMBER(FIND("ENDEREÇO",_xlpm.campo)),
ISNUMBER(FIND("ENDERECO",_xlpm.campo)),
ISNUMBER(FIND("LOGRADOURO",_xlpm.campo)),
ISNUMBER(FIND("BAIRRO",_xlpm.campo)),
ISNUMBER(FIND("MUNICÍPIO",_xlpm.campo)),
ISNUMBER(FIND("MUNICIPIO",_xlpm.campo)),
ISNUMBER(FIND("CIDADE",_xlpm.campo)),
ISNUMBER(FIND("UF",_xlpm.campo))
),
_xlpm.ehTexto,OR(
ISNUMBER(FIND("RAZÃO",_xlpm.campo)),
ISNUMBER(FIND("RAZAO",_xlpm.campo)),
ISNUMBER(FIND("NOME",_xlpm.campo)),
ISNUMBER(FIND("DESCRIÇÃO",_xlpm.campo)),
ISNUMBER(FIND("DESCRICAO",_xlpm.campo)),
ISNUMBER(FIND("TIPO",_xlpm.campo)),
ISNUMBER(FIND("STATUS",_xlpm.campo)),
ISNUMBER(FIND("FORMA",_xlpm.campo)),
ISNUMBER(FIND("MENSAGEM",_xlpm.campo)),
ISNUMBER(FIND("OBSERVAÇÃO",_xlpm.campo)),
ISNUMBER(FIND("OBSERVACAO",_xlpm.campo))
),
_xlpm.ehMoeda,OR(
ISNUMBER(FIND("VALOR",_xlpm.campo)),
ISNUMBER(FIND("TOTAL",_xlpm.campo)),
ISNUMBER(FIND("BASE",_xlpm.campo)),
ISNUMBER(FIND("DESCONTO",_xlpm.campo)),
ISNUMBER(FIND("JUROS",_xlpm.campo)),
ISNUMBER(FIND("MULTA",_xlpm.campo)),
ISNUMBER(FIND("ENCARGO",_xlpm.campo)),
ISNUMBER(FIND("SALDO",_xlpm.campo))
),
_xlpm.ehQuantidade,OR(
ISNUMBER(FIND("QUANTIDADE",_xlpm.campo)),
ISNUMBER(FIND("QTD",_xlpm.campo))
),
IF(_xlpm.ehData,
"DATE",
IF(OR(_xlpm.ehIdentificador,_xlpm.ehDocumento,_xlpm.ehTelefone,_xlpm.ehEndereco,_xlpm.ehTexto),
"VARCHAR2(255 CHAR)",
IF(_xlpm.ehPercentual,
"NUMBER(9,6)",
IF(_xlpm.ehMoeda,
"NUMBER(15,2)",
IF(_xlpm.ehQuantidade,
"NUMBER(10)",
IF(ISNUMBER(_xlpm.valor),
"NUMBER",
"VARCHAR2(255 CHAR)")))))
))</f>
        <v>NUMBER(15,2)</v>
      </c>
      <c r="H67" s="2" t="str">
        <f t="shared" ref="H67:H71" si="5">IF(D67="","",_xlfn.LET(
_xlpm.campo,UPPER(TRIM(D67)),
_xlpm.limpo,SUBSTITUTE(SUBSTITUTE(SUBSTITUTE(SUBSTITUTE(SUBSTITUTE(SUBSTITUTE(_xlpm.campo," ","_"),"-","_"),"/","_"),".","_"),"(",""),")",""),
_xlpm.nome,IF(ISNUMBER(IFERROR(VALUE(LEFT(_xlpm.limpo,1)),"")),"F_"&amp;_xlpm.limpo,_xlpm.limpo),
_xlpm.nome
))</f>
        <v>VALOR_TOTAL_DO_ITEM</v>
      </c>
    </row>
    <row r="68" spans="1:8" x14ac:dyDescent="0.25">
      <c r="A68" s="2" t="s">
        <v>92</v>
      </c>
      <c r="B68" s="2" t="s">
        <v>89</v>
      </c>
      <c r="C68" s="2" t="s">
        <v>91</v>
      </c>
      <c r="D68" s="6" t="s">
        <v>96</v>
      </c>
      <c r="E68" s="2" t="s">
        <v>100</v>
      </c>
      <c r="F68" s="2" t="str">
        <f t="shared" si="3"/>
        <v>Cliente B2B com faturamento centralizado. Validar contrato master, centro de custo e unidade tomadora antes da emissão.</v>
      </c>
      <c r="G68" s="2" t="str">
        <f t="shared" si="4"/>
        <v>VARCHAR2(255 CHAR)</v>
      </c>
      <c r="H68" s="2" t="str">
        <f t="shared" si="5"/>
        <v>MENSAGEM_IMPORTANTE_PARA_VOCÊ</v>
      </c>
    </row>
    <row r="69" spans="1:8" x14ac:dyDescent="0.25">
      <c r="A69" s="2" t="s">
        <v>92</v>
      </c>
      <c r="B69" s="2" t="s">
        <v>89</v>
      </c>
      <c r="C69" s="2" t="s">
        <v>90</v>
      </c>
      <c r="D69" s="6" t="s">
        <v>69</v>
      </c>
      <c r="E69" s="2" t="s">
        <v>101</v>
      </c>
      <c r="F69" s="2" t="str">
        <f t="shared" si="3"/>
        <v>Mariana Alves Costa</v>
      </c>
      <c r="G69" s="2" t="str">
        <f t="shared" si="4"/>
        <v>VARCHAR2(255 CHAR)</v>
      </c>
      <c r="H69" s="2" t="str">
        <f t="shared" si="5"/>
        <v>NOME_SOLICITANTE</v>
      </c>
    </row>
    <row r="70" spans="1:8" x14ac:dyDescent="0.25">
      <c r="A70" s="2" t="s">
        <v>92</v>
      </c>
      <c r="B70" s="2" t="s">
        <v>89</v>
      </c>
      <c r="C70" s="2" t="s">
        <v>90</v>
      </c>
      <c r="D70" s="6" t="s">
        <v>70</v>
      </c>
      <c r="E70" s="2" t="s">
        <v>102</v>
      </c>
      <c r="F70" s="2" t="str">
        <f t="shared" si="3"/>
        <v>mariana.costa@grupoorizon.com.br</v>
      </c>
      <c r="G70" s="2" t="str">
        <f t="shared" si="4"/>
        <v>VARCHAR2(255 CHAR)</v>
      </c>
      <c r="H70" s="2" t="str">
        <f t="shared" si="5"/>
        <v>E_MAIL_SOLICITANTE</v>
      </c>
    </row>
    <row r="71" spans="1:8" x14ac:dyDescent="0.25">
      <c r="A71" s="2" t="s">
        <v>92</v>
      </c>
      <c r="B71" s="2" t="s">
        <v>89</v>
      </c>
      <c r="C71" s="2" t="s">
        <v>90</v>
      </c>
      <c r="D71" s="6" t="s">
        <v>71</v>
      </c>
      <c r="E71" s="2">
        <v>1132547812</v>
      </c>
      <c r="F71" s="2">
        <f t="shared" si="3"/>
        <v>1132547812</v>
      </c>
      <c r="G71" s="2" t="str">
        <f t="shared" si="4"/>
        <v>VARCHAR2(255 CHAR)</v>
      </c>
      <c r="H71" s="2" t="str">
        <f t="shared" si="5"/>
        <v>TELEFONE_SOLICITANTE</v>
      </c>
    </row>
  </sheetData>
  <autoFilter ref="A1:H71" xr:uid="{951EB9BC-7619-4F80-A2E0-C122932AAE5D}"/>
  <pageMargins left="0.511811024" right="0.511811024" top="0.78740157499999996" bottom="0.78740157499999996" header="0.31496062000000002" footer="0.31496062000000002"/>
  <pageSetup paperSize="9" orientation="portrait" r:id="rId1"/>
</worksheet>
</file>

<file path=docMetadata/LabelInfo.xml><?xml version="1.0" encoding="utf-8"?>
<clbl:labelList xmlns:clbl="http://schemas.microsoft.com/office/2020/mipLabelMetadata">
  <clbl:label id="{4feff2ac-c3de-488c-99b2-c6384bfed2ea}" enabled="1" method="Standard" siteId="{9744600e-3e04-492e-baa1-25ec245c6f1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Campos Flexbill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Fabiana Moreira Murad</dc:creator>
  <cp:lastModifiedBy>Fabiana Moreira Murad</cp:lastModifiedBy>
  <dcterms:created xsi:type="dcterms:W3CDTF">2026-05-29T16:07:15Z</dcterms:created>
  <dcterms:modified xsi:type="dcterms:W3CDTF">2026-06-01T21:39:21Z</dcterms:modified>
</cp:coreProperties>
</file>