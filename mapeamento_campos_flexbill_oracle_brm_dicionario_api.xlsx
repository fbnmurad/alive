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fabi\Downloads\"/>
    </mc:Choice>
  </mc:AlternateContent>
  <xr:revisionPtr revIDLastSave="0" documentId="11_E06BF2AECC0666167CBB292F0367740BB705C067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apeamento BRM" sheetId="1" r:id="rId1"/>
    <sheet name="Resumo" sheetId="2" r:id="rId2"/>
    <sheet name="Referências" sheetId="3" r:id="rId3"/>
    <sheet name="Dicionário API" sheetId="4" r:id="rId4"/>
    <sheet name="Resumo Dicionário" sheetId="5" r:id="rId5"/>
    <sheet name="Modelo JSON" sheetId="6" r:id="rId6"/>
    <sheet name="Listas Dicionári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5" l="1"/>
  <c r="B25" i="5"/>
  <c r="B24" i="5"/>
  <c r="B23" i="5"/>
  <c r="B22" i="5"/>
  <c r="B21" i="5"/>
  <c r="B20" i="5"/>
  <c r="B19" i="5"/>
  <c r="B18" i="5"/>
  <c r="B17" i="5"/>
  <c r="B12" i="5"/>
  <c r="B11" i="5"/>
  <c r="B10" i="5"/>
  <c r="B9" i="5"/>
  <c r="B8" i="5"/>
  <c r="B13" i="5" s="1"/>
  <c r="B7" i="5"/>
  <c r="F6" i="5"/>
  <c r="B6" i="5"/>
  <c r="F5" i="5"/>
  <c r="B5" i="5"/>
</calcChain>
</file>

<file path=xl/sharedStrings.xml><?xml version="1.0" encoding="utf-8"?>
<sst xmlns="http://schemas.openxmlformats.org/spreadsheetml/2006/main" count="2404" uniqueCount="680">
  <si>
    <t>Domínio</t>
  </si>
  <si>
    <t>Macro grupo</t>
  </si>
  <si>
    <t>Grupo</t>
  </si>
  <si>
    <t>Campo solicitado</t>
  </si>
  <si>
    <t>Exemplo</t>
  </si>
  <si>
    <t>Classe BRM de referência</t>
  </si>
  <si>
    <t>Tabela core BRM de referência</t>
  </si>
  <si>
    <t>Tabela custom sugerida</t>
  </si>
  <si>
    <t>Observação de mapeamento</t>
  </si>
  <si>
    <t>Tributário</t>
  </si>
  <si>
    <t>Estadual</t>
  </si>
  <si>
    <t>Impostos Estaduais</t>
  </si>
  <si>
    <t>Base de cálculo ICMS</t>
  </si>
  <si>
    <t>R$ 4.890,00</t>
  </si>
  <si>
    <t>/item; /event/billing/tax</t>
  </si>
  <si>
    <t>ITEM_T; EVENT_T; EVENT_BAL_IMPACTS_T</t>
  </si>
  <si>
    <t>c_item_st_tax_t</t>
  </si>
  <si>
    <t>Base, alíquota e valor tributário são referência fiscal do item/evento; normalmente demandam extensão/integração fiscal.</t>
  </si>
  <si>
    <t>Percentual ICMS</t>
  </si>
  <si>
    <t>18,00%</t>
  </si>
  <si>
    <t>Valor ICMS</t>
  </si>
  <si>
    <t>R$ 880,20</t>
  </si>
  <si>
    <t>Ref. Tribut. - IBS Estadual</t>
  </si>
  <si>
    <t>Base IBS Estadual</t>
  </si>
  <si>
    <t>c_item_ibs_st_t</t>
  </si>
  <si>
    <t>Percentual do IBS Estadual</t>
  </si>
  <si>
    <t>9,70%</t>
  </si>
  <si>
    <t>Valor do IBS Estadual</t>
  </si>
  <si>
    <t>R$ 474,33</t>
  </si>
  <si>
    <t>Fundos e Contr. Set.</t>
  </si>
  <si>
    <t>Base FCP</t>
  </si>
  <si>
    <t>c_item_sector_fund_t</t>
  </si>
  <si>
    <t>Percentual FCP</t>
  </si>
  <si>
    <t>2,00%</t>
  </si>
  <si>
    <t>Valor FCP</t>
  </si>
  <si>
    <t>R$ 97,80</t>
  </si>
  <si>
    <t>Federal</t>
  </si>
  <si>
    <t>Impostos Federais</t>
  </si>
  <si>
    <t>Base de cálculo PIS</t>
  </si>
  <si>
    <t>R$ 4.009,80</t>
  </si>
  <si>
    <t>c_item_fed_tax_t</t>
  </si>
  <si>
    <t>Percentual PIS</t>
  </si>
  <si>
    <t>1,65%</t>
  </si>
  <si>
    <t>Valor PIS</t>
  </si>
  <si>
    <t>R$ 66,16</t>
  </si>
  <si>
    <t>Base de cálculo COFINS</t>
  </si>
  <si>
    <t>Valor COFINS</t>
  </si>
  <si>
    <t>R$ 304,74</t>
  </si>
  <si>
    <t>Ref. Tribut. - Federal</t>
  </si>
  <si>
    <t>Base do CBS</t>
  </si>
  <si>
    <t>A informar</t>
  </si>
  <si>
    <t>c_item_cbs_ref_t</t>
  </si>
  <si>
    <t>Percentual do CBS</t>
  </si>
  <si>
    <t>8,80%</t>
  </si>
  <si>
    <t>Valor do CBS</t>
  </si>
  <si>
    <t>R$ 430,32</t>
  </si>
  <si>
    <t>Retenções Federais</t>
  </si>
  <si>
    <t>Retenção Base IRRF</t>
  </si>
  <si>
    <t>R$ 1.250,00</t>
  </si>
  <si>
    <t>c_item_fed_wht_t</t>
  </si>
  <si>
    <t>Retenção Percentual IRRF</t>
  </si>
  <si>
    <t>1,50%</t>
  </si>
  <si>
    <t>Retenção Valor IRRF</t>
  </si>
  <si>
    <t>R$ 18,75</t>
  </si>
  <si>
    <t>Retenção Base CSLL</t>
  </si>
  <si>
    <t>Retenção Percentual CSLL</t>
  </si>
  <si>
    <t>1,00%</t>
  </si>
  <si>
    <t>Retenção Valor CSLL</t>
  </si>
  <si>
    <t>R$ 12,50</t>
  </si>
  <si>
    <t>Retenção Base PIS</t>
  </si>
  <si>
    <t>Retenção Percentual PIS</t>
  </si>
  <si>
    <t>0,65%</t>
  </si>
  <si>
    <t>Retenção Valor PIS</t>
  </si>
  <si>
    <t>R$ 8,13</t>
  </si>
  <si>
    <t>Retenção Base COFINS</t>
  </si>
  <si>
    <t>Retenção Percentual COFINS</t>
  </si>
  <si>
    <t>3,00%</t>
  </si>
  <si>
    <t>Retenção Valor COFINS</t>
  </si>
  <si>
    <t>R$ 37,50</t>
  </si>
  <si>
    <t>Base FUST</t>
  </si>
  <si>
    <t>Percentual FUST</t>
  </si>
  <si>
    <t>Valor FUST</t>
  </si>
  <si>
    <t>R$ 48,90</t>
  </si>
  <si>
    <t>Base FUNTTEL</t>
  </si>
  <si>
    <t>Percentual FUNTTEL</t>
  </si>
  <si>
    <t>0,50%</t>
  </si>
  <si>
    <t>Valor FUNTTEL</t>
  </si>
  <si>
    <t>R$ 24,45</t>
  </si>
  <si>
    <t>Classificações fiscais</t>
  </si>
  <si>
    <t>Class. Fiscal / Oper.</t>
  </si>
  <si>
    <t>CFOP</t>
  </si>
  <si>
    <t>4838384</t>
  </si>
  <si>
    <t>/product; /purchased_product</t>
  </si>
  <si>
    <t>PRODUCT_T; PURCHASED_PRODUCT_T</t>
  </si>
  <si>
    <t>c_pur_prod_fiscal_oper_t</t>
  </si>
  <si>
    <t>Classificação fiscal/operação tende a ser atributo de produto/oferta ou extensão fiscal.</t>
  </si>
  <si>
    <t>Municipal</t>
  </si>
  <si>
    <t>Impostos Municipais</t>
  </si>
  <si>
    <t>Base de cálculo ISS</t>
  </si>
  <si>
    <t>c_item_mun_tax_t</t>
  </si>
  <si>
    <t>Percentual ISS</t>
  </si>
  <si>
    <t>Valor ISS</t>
  </si>
  <si>
    <t>R$ 25,00</t>
  </si>
  <si>
    <t>Código LC 116</t>
  </si>
  <si>
    <t>1.07</t>
  </si>
  <si>
    <t>Ref. Tribut. - IBS Municipal</t>
  </si>
  <si>
    <t>Base do IBS Municipal</t>
  </si>
  <si>
    <t>c_item_ibs_mun_t</t>
  </si>
  <si>
    <t>Percentual do IBS Municipal</t>
  </si>
  <si>
    <t>8,10%</t>
  </si>
  <si>
    <t>Valor do IBS Municipal</t>
  </si>
  <si>
    <t>R$ 101,25</t>
  </si>
  <si>
    <t>Não tributária</t>
  </si>
  <si>
    <t>Partes envolvidas</t>
  </si>
  <si>
    <t>Cliente</t>
  </si>
  <si>
    <t>Email</t>
  </si>
  <si>
    <t>faturamento@grupoexemplo.com.br</t>
  </si>
  <si>
    <t>/account</t>
  </si>
  <si>
    <t>ACCOUNT_T; ACCOUNT_NAMEINFO_T</t>
  </si>
  <si>
    <t>c_account_billing_contact_t</t>
  </si>
  <si>
    <t>Dados cadastrais e de contato associados à conta.</t>
  </si>
  <si>
    <t>Telefone/celular</t>
  </si>
  <si>
    <t>1132547600</t>
  </si>
  <si>
    <t>ACCOUNT_T; ACCOUNT_PHONES_T</t>
  </si>
  <si>
    <t>Contato de conta; telefone normalmente fica em estrutura/array de telefones da conta.</t>
  </si>
  <si>
    <t>Endereço de cobrança</t>
  </si>
  <si>
    <t>Avenida das Nações, 1000 - São Paulo/SP</t>
  </si>
  <si>
    <t>Dados cadastrais/endereço de cobrança da conta.</t>
  </si>
  <si>
    <t>Emitente</t>
  </si>
  <si>
    <t>MENSAGEM IMPORTANTE PARA VOCÊ</t>
  </si>
  <si>
    <t>Cliente B2B com faturamento trial para conferência.</t>
  </si>
  <si>
    <t>/invoice</t>
  </si>
  <si>
    <t>INVOICE_T</t>
  </si>
  <si>
    <t>c_invoice_issuer_msg_t</t>
  </si>
  <si>
    <t>Metadados/comunicação de documento; solicitante tende a exigir extensão/customização sobre invoice.</t>
  </si>
  <si>
    <t>Nome Solicitante</t>
  </si>
  <si>
    <t>Mariana Alves Costa</t>
  </si>
  <si>
    <t>c_invoice_requester_t</t>
  </si>
  <si>
    <t>E-mail Solicitante</t>
  </si>
  <si>
    <t>mariana.costa@grupoexemplo.com.br</t>
  </si>
  <si>
    <t>Telefone Solicitante</t>
  </si>
  <si>
    <t>1132547812</t>
  </si>
  <si>
    <t>Dados da fatura</t>
  </si>
  <si>
    <t>Identificação da fatura</t>
  </si>
  <si>
    <t>Número da conta</t>
  </si>
  <si>
    <t>2201487635</t>
  </si>
  <si>
    <t>ACCOUNT_T</t>
  </si>
  <si>
    <t>c_account_ref_t</t>
  </si>
  <si>
    <t>Identificador de conta BRM.</t>
  </si>
  <si>
    <t>Número da invoice</t>
  </si>
  <si>
    <t>TRIAL-362046000000000000</t>
  </si>
  <si>
    <t>c_invoice_ident_t</t>
  </si>
  <si>
    <t>Identificador/documento de invoice.</t>
  </si>
  <si>
    <t>Número do contrato principal</t>
  </si>
  <si>
    <t>1776934210</t>
  </si>
  <si>
    <t>/billinfo; /purchased_product</t>
  </si>
  <si>
    <t>BILLINFO_T; PURCHASED_PRODUCT_T</t>
  </si>
  <si>
    <t>c_billinfo_contract_t</t>
  </si>
  <si>
    <t>Contrato principal pode depender do modelo comercial: bill unit ou produto contratado.</t>
  </si>
  <si>
    <t>Mês/ano de referência</t>
  </si>
  <si>
    <t>05/2026</t>
  </si>
  <si>
    <t>/bill; /invoice</t>
  </si>
  <si>
    <t>BILL_T; INVOICE_T</t>
  </si>
  <si>
    <t>Competência/período do ciclo de faturamento e documento.</t>
  </si>
  <si>
    <t>Período de apuração</t>
  </si>
  <si>
    <t>2026-05-01 a 2026-05-31</t>
  </si>
  <si>
    <t>c_bill_period_t</t>
  </si>
  <si>
    <t>Composição da cobrança</t>
  </si>
  <si>
    <t>Pagamento</t>
  </si>
  <si>
    <t>Data de vencimento</t>
  </si>
  <si>
    <t>19/06/2026</t>
  </si>
  <si>
    <t>/bill</t>
  </si>
  <si>
    <t>BILL_T</t>
  </si>
  <si>
    <t>c_bill_payment_view_t</t>
  </si>
  <si>
    <t>Valores e vencimento relacionados ao bill/cobrança.</t>
  </si>
  <si>
    <t>Código de barras</t>
  </si>
  <si>
    <t>84700000056129500000000000000000000000000000</t>
  </si>
  <si>
    <t>c_invoice_payment_code_t</t>
  </si>
  <si>
    <t>Representação documental do pagamento; pode exigir extensão conforme banco/arrecadação.</t>
  </si>
  <si>
    <t>Total a pagar</t>
  </si>
  <si>
    <t>R$ 5.612,95</t>
  </si>
  <si>
    <t>Item detalhado</t>
  </si>
  <si>
    <t>Código do item</t>
  </si>
  <si>
    <t>BRMIPCONNECT500</t>
  </si>
  <si>
    <t>/item; /event</t>
  </si>
  <si>
    <t>c_item_detail_t</t>
  </si>
  <si>
    <t>Valores e quantidades de item derivam de item/eventos e impactos de saldo.</t>
  </si>
  <si>
    <t>Descrição comercial</t>
  </si>
  <si>
    <t>Link Dedicado 500 Mbps</t>
  </si>
  <si>
    <t>Descrição e família normalmente derivam do catálogo/oferta/produto adquirido.</t>
  </si>
  <si>
    <t>Conceito faturável</t>
  </si>
  <si>
    <t>CONNECT EMPRESARIAL</t>
  </si>
  <si>
    <t>Família de produtos</t>
  </si>
  <si>
    <t>Conectividade Empresarial</t>
  </si>
  <si>
    <t>c_pur_prod_family_t</t>
  </si>
  <si>
    <t>Número do contrato do item</t>
  </si>
  <si>
    <t>1776934218</t>
  </si>
  <si>
    <t>/purchased_product</t>
  </si>
  <si>
    <t>PURCHASED_PRODUCT_T</t>
  </si>
  <si>
    <t>c_item_contract_t</t>
  </si>
  <si>
    <t>Referência do produto/contrato do item adquirido.</t>
  </si>
  <si>
    <t>Quantidade faturada</t>
  </si>
  <si>
    <t>1</t>
  </si>
  <si>
    <t>Preço unitário</t>
  </si>
  <si>
    <t>Valor total do item</t>
  </si>
  <si>
    <t>Validação e comunicação</t>
  </si>
  <si>
    <t>Comunicação</t>
  </si>
  <si>
    <t>Mensagem importante para você</t>
  </si>
  <si>
    <t>c_invoice_comm_t</t>
  </si>
  <si>
    <t>Contato do solicitante</t>
  </si>
  <si>
    <t>Resumo do mapeamento</t>
  </si>
  <si>
    <t>Total de campos</t>
  </si>
  <si>
    <t>Qtd. campos</t>
  </si>
  <si>
    <t>Campos tributários</t>
  </si>
  <si>
    <t>Campos não tributários</t>
  </si>
  <si>
    <t>Uso</t>
  </si>
  <si>
    <t>Fonte</t>
  </si>
  <si>
    <t>Oracle BRM 15.1 Storable Class Reference</t>
  </si>
  <si>
    <t>https://docs.oracle.com/en/industries/communications/billing-revenue/15.1/storable-class-ref/index.html</t>
  </si>
  <si>
    <t>Oracle BRM 15.1 Mapping Legacy Data to the BRM Data Schema</t>
  </si>
  <si>
    <t>https://docs.oracle.com/en/industries/communications/billing-revenue/15.1/migrating-accounts/mapping-legacy-data-brm-data-schema1.html</t>
  </si>
  <si>
    <t>Oracle BRM Developer's Reference: Storable Class-to-SQL Mapping</t>
  </si>
  <si>
    <t>https://docs.oracle.com/en/industries/communications/billing-revenue/12.0/dev-reference/storable-class-sql-mapping1.html</t>
  </si>
  <si>
    <t>Nota</t>
  </si>
  <si>
    <t>A tabela é referência funcional para desenho de tela e extensão FlexBill. O mapeamento físico final deve ser validado no ambiente BRM, especialmente em BRM_HOME/sys/dd/data/dd_objects.source e nas customizações fiscais existentes.</t>
  </si>
  <si>
    <t>Dicionário técnico-funcional gerado</t>
  </si>
  <si>
    <t>Derivado da primeira aba 'Mapeamento BRM' do arquivo mapeamento_campos_flexbill_oracle_brm.xlsx.</t>
  </si>
  <si>
    <t>Dicionário técnico-funcional — FlexBill x Oracle BRM</t>
  </si>
  <si>
    <t>Evolução da lista de campos para contrato de API: tipo, JSON path, validação, origem BRM/custom, regra de cálculo e sensibilidade.</t>
  </si>
  <si>
    <t>ID do campo</t>
  </si>
  <si>
    <t>Nome API</t>
  </si>
  <si>
    <t>JSON path</t>
  </si>
  <si>
    <t>Nível funcional</t>
  </si>
  <si>
    <t>Tipo de dado</t>
  </si>
  <si>
    <t>Formato/máscara</t>
  </si>
  <si>
    <t>Obrigatoriedade</t>
  </si>
  <si>
    <t>Validação</t>
  </si>
  <si>
    <t>Origem BRM</t>
  </si>
  <si>
    <t>Tabela core BRM</t>
  </si>
  <si>
    <t>Origem custom</t>
  </si>
  <si>
    <t>Regra de cálculo/preenchimento</t>
  </si>
  <si>
    <t>Sensibilidade</t>
  </si>
  <si>
    <t>Prioridade</t>
  </si>
  <si>
    <t>Status documentação</t>
  </si>
  <si>
    <t>Observação de qualidade</t>
  </si>
  <si>
    <t>Observação original</t>
  </si>
  <si>
    <t>FLXBRM-001</t>
  </si>
  <si>
    <t>icmsBaseAmount</t>
  </si>
  <si>
    <t>invoice.items[].taxDetails[?taxType='ICMS'].baseAmount</t>
  </si>
  <si>
    <t>TaxDetail</t>
  </si>
  <si>
    <t>number</t>
  </si>
  <si>
    <t>Decimal monetário com 2 casas; currency em BRL no contexto</t>
  </si>
  <si>
    <t>Condicional</t>
  </si>
  <si>
    <t>Valor monetário &gt;= 0; obrigatório quando o tributo/fundo/retenção for aplicável.</t>
  </si>
  <si>
    <t>Gerar somente quando o tributo ICMS for aplicável ao item; amount deve ser derivado de baseAmount e rate ou recebido de motor fiscal.</t>
  </si>
  <si>
    <t>Fiscal</t>
  </si>
  <si>
    <t>P0</t>
  </si>
  <si>
    <t>Documentado</t>
  </si>
  <si>
    <t>FLXBRM-002</t>
  </si>
  <si>
    <t>icmsRate</t>
  </si>
  <si>
    <t>invoice.items[].taxDetails[?taxType='ICMS'].rate</t>
  </si>
  <si>
    <t>Decimal percentual com 2 casas; sem símbolo % no JSON</t>
  </si>
  <si>
    <t>Número entre 0 e 100; máximo 4 casas se necessário; não enviar símbolo %. Validar amount = baseAmount * rate / 100.</t>
  </si>
  <si>
    <t>FLXBRM-003</t>
  </si>
  <si>
    <t>icmsAmount</t>
  </si>
  <si>
    <t>invoice.items[].taxDetails[?taxType='ICMS'].amount</t>
  </si>
  <si>
    <t>Valor monetário &gt;= 0; reconciliar com baseAmount e rate, tolerância recomendada de R$ 0,01.</t>
  </si>
  <si>
    <t>FLXBRM-004</t>
  </si>
  <si>
    <t>ibsStateBaseAmount</t>
  </si>
  <si>
    <t>invoice.items[].taxDetails[?taxType='IBS_ESTADUAL'].baseAmount</t>
  </si>
  <si>
    <t>Gerar somente quando o tributo IBS_ESTADUAL for aplicável ao item; amount deve ser derivado de baseAmount e rate ou recebido de motor fiscal.</t>
  </si>
  <si>
    <t>FLXBRM-005</t>
  </si>
  <si>
    <t>ibsStateRate</t>
  </si>
  <si>
    <t>invoice.items[].taxDetails[?taxType='IBS_ESTADUAL'].rate</t>
  </si>
  <si>
    <t>FLXBRM-006</t>
  </si>
  <si>
    <t>ibsStateAmount</t>
  </si>
  <si>
    <t>invoice.items[].taxDetails[?taxType='IBS_ESTADUAL'].amount</t>
  </si>
  <si>
    <t>FLXBRM-007</t>
  </si>
  <si>
    <t>fcpBaseAmount</t>
  </si>
  <si>
    <t>invoice.items[].sectorFunds[?fundType='FCP'].baseAmount</t>
  </si>
  <si>
    <t>SectorFund</t>
  </si>
  <si>
    <t>Gerar somente quando o fundo FCP for aplicável ao item; valor calculado a partir de baseAmount e rate.</t>
  </si>
  <si>
    <t>FLXBRM-008</t>
  </si>
  <si>
    <t>fcpRate</t>
  </si>
  <si>
    <t>invoice.items[].sectorFunds[?fundType='FCP'].rate</t>
  </si>
  <si>
    <t>FLXBRM-009</t>
  </si>
  <si>
    <t>fcpAmount</t>
  </si>
  <si>
    <t>invoice.items[].sectorFunds[?fundType='FCP'].amount</t>
  </si>
  <si>
    <t>FLXBRM-010</t>
  </si>
  <si>
    <t>pisBaseAmount</t>
  </si>
  <si>
    <t>invoice.items[].taxDetails[?taxType='PIS'].baseAmount</t>
  </si>
  <si>
    <t>Gerar somente quando o tributo PIS for aplicável ao item; amount deve ser derivado de baseAmount e rate ou recebido de motor fiscal.</t>
  </si>
  <si>
    <t>FLXBRM-011</t>
  </si>
  <si>
    <t>pisRate</t>
  </si>
  <si>
    <t>invoice.items[].taxDetails[?taxType='PIS'].rate</t>
  </si>
  <si>
    <t>FLXBRM-012</t>
  </si>
  <si>
    <t>pisAmount</t>
  </si>
  <si>
    <t>invoice.items[].taxDetails[?taxType='PIS'].amount</t>
  </si>
  <si>
    <t>FLXBRM-013</t>
  </si>
  <si>
    <t>cofinsBaseAmount</t>
  </si>
  <si>
    <t>invoice.items[].taxDetails[?taxType='COFINS'].baseAmount</t>
  </si>
  <si>
    <t>Gerar somente quando o tributo COFINS for aplicável ao item; amount deve ser derivado de baseAmount e rate ou recebido de motor fiscal.</t>
  </si>
  <si>
    <t>FLXBRM-014</t>
  </si>
  <si>
    <t>cofinsAmount</t>
  </si>
  <si>
    <t>invoice.items[].taxDetails[?taxType='COFINS'].amount</t>
  </si>
  <si>
    <t>Verificar se Percentual COFINS deve ser incluído; PIS possui base/percentual/valor.</t>
  </si>
  <si>
    <t>FLXBRM-015</t>
  </si>
  <si>
    <t>cbsBaseAmount</t>
  </si>
  <si>
    <t>invoice.items[].taxDetails[?taxType='CBS'].baseAmount</t>
  </si>
  <si>
    <t>Gerar somente quando o tributo CBS for aplicável ao item; amount deve ser derivado de baseAmount e rate ou recebido de motor fiscal.</t>
  </si>
  <si>
    <t>Pendente exemplo</t>
  </si>
  <si>
    <t>Completar exemplo e regra de origem antes de publicar contrato.</t>
  </si>
  <si>
    <t>FLXBRM-016</t>
  </si>
  <si>
    <t>cbsRate</t>
  </si>
  <si>
    <t>invoice.items[].taxDetails[?taxType='CBS'].rate</t>
  </si>
  <si>
    <t>FLXBRM-017</t>
  </si>
  <si>
    <t>cbsAmount</t>
  </si>
  <si>
    <t>invoice.items[].taxDetails[?taxType='CBS'].amount</t>
  </si>
  <si>
    <t>FLXBRM-018</t>
  </si>
  <si>
    <t>irrfWithholdingBaseAmount</t>
  </si>
  <si>
    <t>invoice.items[].withholdingTaxes[?taxType='IRRF'].baseAmount</t>
  </si>
  <si>
    <t>WithholdingTax</t>
  </si>
  <si>
    <t>Gerar somente quando houver retenção IRRF; base, percentual e valor devem vir da regra fiscal/retenção aplicada ao item.</t>
  </si>
  <si>
    <t>FLXBRM-019</t>
  </si>
  <si>
    <t>irrfWithholdingRate</t>
  </si>
  <si>
    <t>invoice.items[].withholdingTaxes[?taxType='IRRF'].rate</t>
  </si>
  <si>
    <t>FLXBRM-020</t>
  </si>
  <si>
    <t>irrfWithholdingAmount</t>
  </si>
  <si>
    <t>invoice.items[].withholdingTaxes[?taxType='IRRF'].amount</t>
  </si>
  <si>
    <t>FLXBRM-021</t>
  </si>
  <si>
    <t>csllWithholdingBaseAmount</t>
  </si>
  <si>
    <t>invoice.items[].withholdingTaxes[?taxType='CSLL'].baseAmount</t>
  </si>
  <si>
    <t>Gerar somente quando houver retenção CSLL; base, percentual e valor devem vir da regra fiscal/retenção aplicada ao item.</t>
  </si>
  <si>
    <t>FLXBRM-022</t>
  </si>
  <si>
    <t>csllWithholdingRate</t>
  </si>
  <si>
    <t>invoice.items[].withholdingTaxes[?taxType='CSLL'].rate</t>
  </si>
  <si>
    <t>FLXBRM-023</t>
  </si>
  <si>
    <t>csllWithholdingAmount</t>
  </si>
  <si>
    <t>invoice.items[].withholdingTaxes[?taxType='CSLL'].amount</t>
  </si>
  <si>
    <t>FLXBRM-024</t>
  </si>
  <si>
    <t>invoice.items[].withholdingTaxes[?taxType='PIS'].baseAmount</t>
  </si>
  <si>
    <t>Gerar somente quando houver retenção PIS; base, percentual e valor devem vir da regra fiscal/retenção aplicada ao item.</t>
  </si>
  <si>
    <t>FLXBRM-025</t>
  </si>
  <si>
    <t>invoice.items[].withholdingTaxes[?taxType='PIS'].rate</t>
  </si>
  <si>
    <t>FLXBRM-026</t>
  </si>
  <si>
    <t>invoice.items[].withholdingTaxes[?taxType='PIS'].amount</t>
  </si>
  <si>
    <t>FLXBRM-027</t>
  </si>
  <si>
    <t>invoice.items[].withholdingTaxes[?taxType='COFINS'].baseAmount</t>
  </si>
  <si>
    <t>Gerar somente quando houver retenção COFINS; base, percentual e valor devem vir da regra fiscal/retenção aplicada ao item.</t>
  </si>
  <si>
    <t>FLXBRM-028</t>
  </si>
  <si>
    <t>cofinsRate</t>
  </si>
  <si>
    <t>invoice.items[].withholdingTaxes[?taxType='COFINS'].rate</t>
  </si>
  <si>
    <t>FLXBRM-029</t>
  </si>
  <si>
    <t>invoice.items[].withholdingTaxes[?taxType='COFINS'].amount</t>
  </si>
  <si>
    <t>FLXBRM-030</t>
  </si>
  <si>
    <t>fustBaseAmount</t>
  </si>
  <si>
    <t>invoice.items[].sectorFunds[?fundType='FUST'].baseAmount</t>
  </si>
  <si>
    <t>Gerar somente quando o fundo FUST for aplicável ao item; valor calculado a partir de baseAmount e rate.</t>
  </si>
  <si>
    <t>FLXBRM-031</t>
  </si>
  <si>
    <t>fustRate</t>
  </si>
  <si>
    <t>invoice.items[].sectorFunds[?fundType='FUST'].rate</t>
  </si>
  <si>
    <t>FLXBRM-032</t>
  </si>
  <si>
    <t>fustAmount</t>
  </si>
  <si>
    <t>invoice.items[].sectorFunds[?fundType='FUST'].amount</t>
  </si>
  <si>
    <t>FLXBRM-033</t>
  </si>
  <si>
    <t>funttelBaseAmount</t>
  </si>
  <si>
    <t>invoice.items[].sectorFunds[?fundType='FUNTTEL'].baseAmount</t>
  </si>
  <si>
    <t>Gerar somente quando o fundo FUNTTEL for aplicável ao item; valor calculado a partir de baseAmount e rate.</t>
  </si>
  <si>
    <t>FLXBRM-034</t>
  </si>
  <si>
    <t>funttelRate</t>
  </si>
  <si>
    <t>invoice.items[].sectorFunds[?fundType='FUNTTEL'].rate</t>
  </si>
  <si>
    <t>FLXBRM-035</t>
  </si>
  <si>
    <t>funttelAmount</t>
  </si>
  <si>
    <t>invoice.items[].sectorFunds[?fundType='FUNTTEL'].amount</t>
  </si>
  <si>
    <t>FLXBRM-036</t>
  </si>
  <si>
    <t>cfop</t>
  </si>
  <si>
    <t>invoice.items[].fiscalOperation.cfop</t>
  </si>
  <si>
    <t>FiscalOperation</t>
  </si>
  <si>
    <t>string</t>
  </si>
  <si>
    <t>Código fiscal; manter como texto</t>
  </si>
  <si>
    <t>Obrigatório quando houver operação fiscal; validar domínio CFOP configurado. Atenção: exemplo informado não segue padrão usual de 4 dígitos.</t>
  </si>
  <si>
    <t>Preencher a partir da classificação fiscal da operação do item/serviço; validar com a configuração fiscal vigente.</t>
  </si>
  <si>
    <t>Revisar domínio</t>
  </si>
  <si>
    <t>Exemplo informado parece fora do padrão usual de CFOP; validar com fiscal.</t>
  </si>
  <si>
    <t>FLXBRM-037</t>
  </si>
  <si>
    <t>issBaseAmount</t>
  </si>
  <si>
    <t>invoice.items[].taxDetails[?taxType='ISS'].baseAmount</t>
  </si>
  <si>
    <t>Gerar somente quando o tributo ISS for aplicável ao item; amount deve ser derivado de baseAmount e rate ou recebido de motor fiscal.</t>
  </si>
  <si>
    <t>FLXBRM-038</t>
  </si>
  <si>
    <t>issRate</t>
  </si>
  <si>
    <t>invoice.items[].taxDetails[?taxType='ISS'].rate</t>
  </si>
  <si>
    <t>FLXBRM-039</t>
  </si>
  <si>
    <t>issAmount</t>
  </si>
  <si>
    <t>invoice.items[].taxDetails[?taxType='ISS'].amount</t>
  </si>
  <si>
    <t>FLXBRM-040</t>
  </si>
  <si>
    <t>lc116ServiceCode</t>
  </si>
  <si>
    <t>invoice.items[].fiscalOperation.lc116ServiceCode</t>
  </si>
  <si>
    <t>Obrigatório para ISS quando aplicável; validar código de serviço conforme LC 116.</t>
  </si>
  <si>
    <t>Preencher com o código de serviço municipal quando o item estiver sujeito a ISS.</t>
  </si>
  <si>
    <t>FLXBRM-041</t>
  </si>
  <si>
    <t>ibsMunicipalBaseAmount</t>
  </si>
  <si>
    <t>invoice.items[].taxDetails[?taxType='IBS_MUNICIPAL'].baseAmount</t>
  </si>
  <si>
    <t>Gerar somente quando o tributo IBS_MUNICIPAL for aplicável ao item; amount deve ser derivado de baseAmount e rate ou recebido de motor fiscal.</t>
  </si>
  <si>
    <t>FLXBRM-042</t>
  </si>
  <si>
    <t>ibsMunicipalRate</t>
  </si>
  <si>
    <t>invoice.items[].taxDetails[?taxType='IBS_MUNICIPAL'].rate</t>
  </si>
  <si>
    <t>FLXBRM-043</t>
  </si>
  <si>
    <t>ibsMunicipalAmount</t>
  </si>
  <si>
    <t>invoice.items[].taxDetails[?taxType='IBS_MUNICIPAL'].amount</t>
  </si>
  <si>
    <t>FLXBRM-044</t>
  </si>
  <si>
    <t>customerEmail</t>
  </si>
  <si>
    <t>invoice.customer.email</t>
  </si>
  <si>
    <t>Customer</t>
  </si>
  <si>
    <t>E-mail válido</t>
  </si>
  <si>
    <t>Regex de e-mail; mascarar em logs quando necessário.</t>
  </si>
  <si>
    <t>Preencher a partir do cadastro do cliente ou do contato solicitante; aplicar mascaramento em logs.</t>
  </si>
  <si>
    <t>Dado pessoal</t>
  </si>
  <si>
    <t>P2</t>
  </si>
  <si>
    <t>FLXBRM-045</t>
  </si>
  <si>
    <t>customerPhoneNumber</t>
  </si>
  <si>
    <t>invoice.customer.phoneNumber</t>
  </si>
  <si>
    <t>Somente dígitos; DDD + número</t>
  </si>
  <si>
    <t>Somente dígitos; validar DDD; mascarar parcialmente em logs.</t>
  </si>
  <si>
    <t>FLXBRM-046</t>
  </si>
  <si>
    <t>customerBillingAddress</t>
  </si>
  <si>
    <t>invoice.customer.billingAddress.fullAddress</t>
  </si>
  <si>
    <t>Texto</t>
  </si>
  <si>
    <t>Texto obrigatório se layout exigir endereço; evitar abreviações não padronizadas.</t>
  </si>
  <si>
    <t>FLXBRM-047</t>
  </si>
  <si>
    <t>importantMessage</t>
  </si>
  <si>
    <t>invoice.messages[?type='IMPORTANT'].text</t>
  </si>
  <si>
    <t>Message</t>
  </si>
  <si>
    <t>Texto opcional/condicional; controlar tamanho máximo e caracteres especiais do layout.</t>
  </si>
  <si>
    <t>Preencher a partir de regra de comunicação/layout ou configuração da fatura; evitar duplicidade de origem.</t>
  </si>
  <si>
    <t>Interno/Comunicação</t>
  </si>
  <si>
    <t>P3</t>
  </si>
  <si>
    <t>Revisar duplicidade</t>
  </si>
  <si>
    <t>Campo aparece em dois grupos; definir origem única e reaproveitamento no layout.</t>
  </si>
  <si>
    <t>FLXBRM-048</t>
  </si>
  <si>
    <t>requesterName</t>
  </si>
  <si>
    <t>invoice.requester.name</t>
  </si>
  <si>
    <t>Requester</t>
  </si>
  <si>
    <t>Validar preenchimento conforme contrato de API e layout FlexBill.</t>
  </si>
  <si>
    <t>Preencher a partir do objeto BRM/custom indicado, mantendo contrato externo independente de flist/tabela.</t>
  </si>
  <si>
    <t>Campo aparece em Emitente e Contato do solicitante; confirmar se é duplicidade ou papéis distintos.</t>
  </si>
  <si>
    <t>FLXBRM-049</t>
  </si>
  <si>
    <t>requesterEmail</t>
  </si>
  <si>
    <t>invoice.requester.email</t>
  </si>
  <si>
    <t>FLXBRM-050</t>
  </si>
  <si>
    <t>requesterPhoneNumber</t>
  </si>
  <si>
    <t>invoice.requester.phoneNumber</t>
  </si>
  <si>
    <t>FLXBRM-051</t>
  </si>
  <si>
    <t>accountNumber</t>
  </si>
  <si>
    <t>invoice.account.accountNumber</t>
  </si>
  <si>
    <t>Invoice</t>
  </si>
  <si>
    <t>Sim</t>
  </si>
  <si>
    <t>Obrigatório no contexto; manter como string para preservar zeros à esquerda e formato externo.</t>
  </si>
  <si>
    <t>Preencher com o account number/account ID funcional exposto ao consumidor.</t>
  </si>
  <si>
    <t>Operacional</t>
  </si>
  <si>
    <t>FLXBRM-052</t>
  </si>
  <si>
    <t>invoiceNumber</t>
  </si>
  <si>
    <t>invoice.invoiceNumber</t>
  </si>
  <si>
    <t>Identificador único da fatura; não converter para número.</t>
  </si>
  <si>
    <t>Preencher com o identificador funcional da invoice gerada pelo BRM/FlexBill.</t>
  </si>
  <si>
    <t>FLXBRM-053</t>
  </si>
  <si>
    <t>mainContractNumber</t>
  </si>
  <si>
    <t>invoice.mainContractNumber</t>
  </si>
  <si>
    <t>Preencher com o identificador de contrato principal ou contrato do item conforme origem comercial.</t>
  </si>
  <si>
    <t>P1</t>
  </si>
  <si>
    <t>FLXBRM-054</t>
  </si>
  <si>
    <t>referenceMonth</t>
  </si>
  <si>
    <t>invoice.referenceMonth</t>
  </si>
  <si>
    <t>YYYY-MM</t>
  </si>
  <si>
    <t>Formato YYYY-MM; coerente com o período de apuração.</t>
  </si>
  <si>
    <t>Derivar do ciclo de faturamento da fatura.</t>
  </si>
  <si>
    <t>FLXBRM-055</t>
  </si>
  <si>
    <t>billingPeriod</t>
  </si>
  <si>
    <t>invoice.billingPeriod</t>
  </si>
  <si>
    <t>object</t>
  </si>
  <si>
    <t>{startDate: YYYY-MM-DD, endDate: YYYY-MM-DD}</t>
  </si>
  <si>
    <t>startDate &lt;= endDate; ambas as datas em ISO 8601; coerente com mês de referência.</t>
  </si>
  <si>
    <t>Preencher com início e fim do ciclo de faturamento/apuração do item ou da fatura.</t>
  </si>
  <si>
    <t>FLXBRM-056</t>
  </si>
  <si>
    <t>dueDate</t>
  </si>
  <si>
    <t>invoice.payment.dueDate</t>
  </si>
  <si>
    <t>Payment</t>
  </si>
  <si>
    <t>date ISO 8601: YYYY-MM-DD</t>
  </si>
  <si>
    <t>Data válida em ISO 8601; deve ser &gt;= data de emissão quando aplicável.</t>
  </si>
  <si>
    <t>Preencher com a due date calculada para a fatura/billinfo.</t>
  </si>
  <si>
    <t>Financeiro</t>
  </si>
  <si>
    <t>FLXBRM-057</t>
  </si>
  <si>
    <t>barcode</t>
  </si>
  <si>
    <t>invoice.payment.barcode</t>
  </si>
  <si>
    <t>Numérico, 44 a 48 dígitos conforme arrecadação/boleto</t>
  </si>
  <si>
    <t>String numérica; validar tamanho e dígito conforme convênio/banco.</t>
  </si>
  <si>
    <t>Preencher a partir da integração de cobrança/arrecadação após geração do documento de pagamento.</t>
  </si>
  <si>
    <t>FLXBRM-058</t>
  </si>
  <si>
    <t>amountDue</t>
  </si>
  <si>
    <t>invoice.payment.amountDue</t>
  </si>
  <si>
    <t>Valor &gt;= 0; reconciliar com soma de itens, tributos, descontos, ajustes e retenções.</t>
  </si>
  <si>
    <t>Derivar do total da fatura após itens, impostos, descontos, ajustes, retenções e encargos; reconciliar com /bill ou /invoice.</t>
  </si>
  <si>
    <t>FLXBRM-059</t>
  </si>
  <si>
    <t>itemCode</t>
  </si>
  <si>
    <t>invoice.items[].itemCode</t>
  </si>
  <si>
    <t>InvoiceItem</t>
  </si>
  <si>
    <t>FLXBRM-060</t>
  </si>
  <si>
    <t>commercialDescription</t>
  </si>
  <si>
    <t>invoice.items[].commercialDescription</t>
  </si>
  <si>
    <t>FLXBRM-061</t>
  </si>
  <si>
    <t>billableConcept</t>
  </si>
  <si>
    <t>invoice.items[].billableConcept</t>
  </si>
  <si>
    <t>FLXBRM-062</t>
  </si>
  <si>
    <t>productFamily</t>
  </si>
  <si>
    <t>invoice.items[].productFamily</t>
  </si>
  <si>
    <t>FLXBRM-063</t>
  </si>
  <si>
    <t>itemContractNumber</t>
  </si>
  <si>
    <t>invoice.items[].contractNumber</t>
  </si>
  <si>
    <t>FLXBRM-064</t>
  </si>
  <si>
    <t>quantity</t>
  </si>
  <si>
    <t>invoice.items[].quantity</t>
  </si>
  <si>
    <t>Decimal ou inteiro conforme unidade faturável</t>
  </si>
  <si>
    <t>Valor &gt; 0; unidade conforme produto/serviço.</t>
  </si>
  <si>
    <t>Preencher com a quantidade faturada ou unidade de medição do item.</t>
  </si>
  <si>
    <t>FLXBRM-065</t>
  </si>
  <si>
    <t>unitPrice</t>
  </si>
  <si>
    <t>invoice.items[].unitPrice</t>
  </si>
  <si>
    <t>Valor &gt;= 0; moeda BRL; validar contra catálogo/contrato quando aplicável.</t>
  </si>
  <si>
    <t>Preencher a partir do preço aplicado no rating/pricing/contrato do item.</t>
  </si>
  <si>
    <t>FLXBRM-066</t>
  </si>
  <si>
    <t>totalAmount</t>
  </si>
  <si>
    <t>invoice.items[].totalAmount</t>
  </si>
  <si>
    <t>Valor &gt;= 0; validar totalAmount = quantity * unitPrice +/- ajustes.</t>
  </si>
  <si>
    <t>Derivar da composição do item faturável; normalmente quantity * unitPrice, ajustado por descontos/pró-rata quando houver.</t>
  </si>
  <si>
    <t>FLXBRM-067</t>
  </si>
  <si>
    <t>FLXBRM-068</t>
  </si>
  <si>
    <t>FLXBRM-069</t>
  </si>
  <si>
    <t>FLXBRM-070</t>
  </si>
  <si>
    <t>Resumo do dicionário técnico-funcional</t>
  </si>
  <si>
    <t>Indicadores, pendências e recomendações para publicar o contrato de API/FlexBill integrado ao Oracle BRM.</t>
  </si>
  <si>
    <t>Indicador</t>
  </si>
  <si>
    <t>Valor</t>
  </si>
  <si>
    <t>Fórmula / Observação</t>
  </si>
  <si>
    <t>Qtd.</t>
  </si>
  <si>
    <t>Total de linhas do dicionário</t>
  </si>
  <si>
    <t>Domínio = Tributário</t>
  </si>
  <si>
    <t>Domínio = Não tributária</t>
  </si>
  <si>
    <t>Campos documentados</t>
  </si>
  <si>
    <t>Status = Documentado</t>
  </si>
  <si>
    <t>Campos com pendência de exemplo</t>
  </si>
  <si>
    <t>Status contém Pendente</t>
  </si>
  <si>
    <t>Campos para revisão</t>
  </si>
  <si>
    <t>Status contém Revisar</t>
  </si>
  <si>
    <t>Campos sensíveis/dado pessoal</t>
  </si>
  <si>
    <t>Sensibilidade = Dado pessoal</t>
  </si>
  <si>
    <t>Campos P0</t>
  </si>
  <si>
    <t>Prioridade = P0</t>
  </si>
  <si>
    <t>Maturidade documental</t>
  </si>
  <si>
    <t>Documentados / Total</t>
  </si>
  <si>
    <t>ID</t>
  </si>
  <si>
    <t>Severidade</t>
  </si>
  <si>
    <t>Achado</t>
  </si>
  <si>
    <t>Campos impactados</t>
  </si>
  <si>
    <t>Recomendação</t>
  </si>
  <si>
    <t>PEND-001</t>
  </si>
  <si>
    <t>Alta</t>
  </si>
  <si>
    <t>Exemplos pendentes com valor 'A informar'.</t>
  </si>
  <si>
    <t>Base do CBS; Retenção Base CSLL; Base FUST; Base FUNTTEL</t>
  </si>
  <si>
    <t>Completar exemplos reais e origem de cálculo antes de publicar o contrato.</t>
  </si>
  <si>
    <t>PEND-002</t>
  </si>
  <si>
    <t>CFOP com exemplo fora do padrão usual de 4 dígitos.</t>
  </si>
  <si>
    <t>Validar com fiscal e ajustar exemplo/domínio permitido.</t>
  </si>
  <si>
    <t>PEND-003</t>
  </si>
  <si>
    <t>Média</t>
  </si>
  <si>
    <t>Possível ausência de Percentual COFINS no grupo de impostos federais.</t>
  </si>
  <si>
    <t>Base de cálculo COFINS; Valor COFINS</t>
  </si>
  <si>
    <t>Confirmar se o campo deve existir para manter paridade com PIS.</t>
  </si>
  <si>
    <t>PEND-004</t>
  </si>
  <si>
    <t>Mensagem importante aparece em dois grupos.</t>
  </si>
  <si>
    <t>MENSAGEM IMPORTANTE PARA VOCÊ; Mensagem importante para você</t>
  </si>
  <si>
    <t>Definir origem única e reaproveitar no layout.</t>
  </si>
  <si>
    <t>PEND-005</t>
  </si>
  <si>
    <t>Dados de solicitante aparecem em Emitente e Contato do solicitante.</t>
  </si>
  <si>
    <t>Nome/E-mail/Telefone Solicitante</t>
  </si>
  <si>
    <t>Confirmar se são papéis distintos ou duplicidade de layout.</t>
  </si>
  <si>
    <t>Descrição</t>
  </si>
  <si>
    <t>Contrato externo</t>
  </si>
  <si>
    <t>Manter JSON funcional, sem expor flist, PIN_FLD_* ou tabelas BRM ao consumidor.</t>
  </si>
  <si>
    <t>Tributos</t>
  </si>
  <si>
    <t>Modelar como arrays repetíveis: taxDetails[], withholdingTaxes[] e sectorFunds[].</t>
  </si>
  <si>
    <t>Valores</t>
  </si>
  <si>
    <t>Enviar monetários como number e currency no contexto; formato R$ fica para apresentação/layout.</t>
  </si>
  <si>
    <t>Datas</t>
  </si>
  <si>
    <t>Padronizar ISO 8601 na API: YYYY-MM-DD e referenceMonth como YYYY-MM.</t>
  </si>
  <si>
    <t>Auditoria</t>
  </si>
  <si>
    <t>Propagar correlationId/requestId e aplicar mascaramento para dados pessoais.</t>
  </si>
  <si>
    <t>Modelo JSON sugerido para a API</t>
  </si>
  <si>
    <t>Exemplo derivado do dicionário. Valores fiscais com null representam pontos pendentes de exemplo/origem na planilha.</t>
  </si>
  <si>
    <t>JSON sample</t>
  </si>
  <si>
    <t>{</t>
  </si>
  <si>
    <t>"invoice": {</t>
  </si>
  <si>
    <t>"invoiceNumber": "TRIAL-362046000000000000",</t>
  </si>
  <si>
    <t>"referenceMonth": "2026-05",</t>
  </si>
  <si>
    <t>"account": {</t>
  </si>
  <si>
    <t>"accountNumber": "2201487635"</t>
  </si>
  <si>
    <t>},</t>
  </si>
  <si>
    <t>"mainContractNumber": "1776934210",</t>
  </si>
  <si>
    <t>"billingPeriod": {</t>
  </si>
  <si>
    <t>"startDate": "2026-05-01",</t>
  </si>
  <si>
    <t>"endDate": "2026-05-31"</t>
  </si>
  <si>
    <t>"customer": {</t>
  </si>
  <si>
    <t>"email": "faturamento@grupoexemplo.com.br",</t>
  </si>
  <si>
    <t>"phoneNumber": "1132547600",</t>
  </si>
  <si>
    <t>"billingAddress": {</t>
  </si>
  <si>
    <t>"fullAddress": "Avenida das Nações, 1000 - São Paulo/SP"</t>
  </si>
  <si>
    <t>}</t>
  </si>
  <si>
    <t>"requester": {</t>
  </si>
  <si>
    <t>"name": "Mariana Alves Costa",</t>
  </si>
  <si>
    <t>"email": "mariana.costa@grupoexemplo.com.br",</t>
  </si>
  <si>
    <t>"phoneNumber": "1132547812"</t>
  </si>
  <si>
    <t>"payment": {</t>
  </si>
  <si>
    <t>"dueDate": "2026-06-19",</t>
  </si>
  <si>
    <t>"barcode": "84700000056129500000000000000000000000000000",</t>
  </si>
  <si>
    <t>"amountDue": 5612.95,</t>
  </si>
  <si>
    <t>"currency": "BRL"</t>
  </si>
  <si>
    <t>"items": [</t>
  </si>
  <si>
    <t>"itemCode": "BRMIPCONNECT500",</t>
  </si>
  <si>
    <t>"commercialDescription": "Link Dedicado 500 Mbps",</t>
  </si>
  <si>
    <t>"billableConcept": "CONNECT EMPRESARIAL",</t>
  </si>
  <si>
    <t>"productFamily": "Conectividade Empresarial",</t>
  </si>
  <si>
    <t>"contractNumber": "1776934218",</t>
  </si>
  <si>
    <t>"quantity": 1,</t>
  </si>
  <si>
    <t>"unitPrice": 4890.0,</t>
  </si>
  <si>
    <t>"totalAmount": 4890.0,</t>
  </si>
  <si>
    <t>"fiscalOperation": {</t>
  </si>
  <si>
    <t>"cfop": "validar",</t>
  </si>
  <si>
    <t>"lc116ServiceCode": "1.07"</t>
  </si>
  <si>
    <t>"taxDetails": [</t>
  </si>
  <si>
    <t>"taxType": "ICMS",</t>
  </si>
  <si>
    <t>"jurisdiction": "STATE",</t>
  </si>
  <si>
    <t>"baseAmount": 4890.0,</t>
  </si>
  <si>
    <t>"rate": 18.0,</t>
  </si>
  <si>
    <t>"amount": 880.2</t>
  </si>
  <si>
    <t>"taxType": "PIS",</t>
  </si>
  <si>
    <t>"jurisdiction": "FEDERAL",</t>
  </si>
  <si>
    <t>"baseAmount": 4009.8,</t>
  </si>
  <si>
    <t>"rate": 1.65,</t>
  </si>
  <si>
    <t>"amount": 66.16</t>
  </si>
  <si>
    <t>"taxType": "COFINS",</t>
  </si>
  <si>
    <t>"amount": 304.74</t>
  </si>
  <si>
    <t>"taxType": "ISS",</t>
  </si>
  <si>
    <t>"jurisdiction": "MUNICIPAL",</t>
  </si>
  <si>
    <t>"baseAmount": 1250.0,</t>
  </si>
  <si>
    <t>"rate": 2.0,</t>
  </si>
  <si>
    <t>"amount": 25.0</t>
  </si>
  <si>
    <t>],</t>
  </si>
  <si>
    <t>"sectorFunds": [</t>
  </si>
  <si>
    <t>"fundType": "FCP",</t>
  </si>
  <si>
    <t>"amount": 97.8</t>
  </si>
  <si>
    <t>"fundType": "FUST",</t>
  </si>
  <si>
    <t>"baseAmount": null,</t>
  </si>
  <si>
    <t>"rate": 1.0,</t>
  </si>
  <si>
    <t>"amount": 48.9</t>
  </si>
  <si>
    <t>"fundType": "FUNTTEL",</t>
  </si>
  <si>
    <t>"rate": 0.5,</t>
  </si>
  <si>
    <t>"amount": 24.45</t>
  </si>
  <si>
    <t>"withholdingTaxes": [</t>
  </si>
  <si>
    <t>"taxType": "IRRF",</t>
  </si>
  <si>
    <t>"rate": 1.5,</t>
  </si>
  <si>
    <t>"amount": 18.75</t>
  </si>
  <si>
    <t>"taxType": "CSLL",</t>
  </si>
  <si>
    <t>"amount": 12.5</t>
  </si>
  <si>
    <t>]</t>
  </si>
  <si>
    <t>"messages": [</t>
  </si>
  <si>
    <t>"type": "IMPORTANT",</t>
  </si>
  <si>
    <t>"text": "Cliente B2B com faturamento trial para conferência."</t>
  </si>
  <si>
    <t>Não</t>
  </si>
  <si>
    <t>array</t>
  </si>
  <si>
    <t>boolean</t>
  </si>
  <si>
    <t>Pendente exemplo; Revisar domínio</t>
  </si>
  <si>
    <t>Pendente exemplo; Revisar duplicidade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</si>
</sst>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101828"/>
      <name val="Carlito"/>
    </font>
    <font>
      <b/>
      <sz val="11"/>
      <name val="Carlito"/>
    </font>
    <font>
      <b/>
      <sz val="14"/>
      <color rgb="FFFFFFFF"/>
      <name val="Carlito"/>
    </font>
    <font>
      <i/>
      <sz val="11"/>
      <color rgb="FF222222"/>
      <name val="Carlito"/>
    </font>
    <font>
      <sz val="10"/>
      <color rgb="FF222222"/>
      <name val="Courier New"/>
    </font>
  </fonts>
  <fills count="7">
    <fill>
      <patternFill patternType="none"/>
    </fill>
    <fill>
      <patternFill patternType="gray125"/>
    </fill>
    <fill>
      <patternFill patternType="solid">
        <fgColor rgb="FF124A7D"/>
      </patternFill>
    </fill>
    <fill>
      <patternFill patternType="solid">
        <fgColor rgb="FF2F3A8F"/>
      </patternFill>
    </fill>
    <fill>
      <patternFill patternType="solid">
        <fgColor rgb="FFE8ECFF"/>
      </patternFill>
    </fill>
    <fill>
      <patternFill patternType="solid">
        <fgColor rgb="FF4B4DB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/>
    <xf numFmtId="0" fontId="3" fillId="0" borderId="0" xfId="0" applyFont="1"/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 applyAlignment="1">
      <alignment wrapText="1"/>
    </xf>
    <xf numFmtId="0" fontId="6" fillId="6" borderId="0" xfId="0" applyFont="1" applyFill="1" applyAlignment="1">
      <alignment vertical="top"/>
    </xf>
    <xf numFmtId="0" fontId="4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6">
    <dxf>
      <font>
        <b/>
        <color rgb="FF9A6700"/>
      </font>
      <fill>
        <patternFill patternType="solid">
          <bgColor rgb="FFFFF8C5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9A6700"/>
      </font>
      <fill>
        <patternFill patternType="solid">
          <bgColor rgb="FFFFF8C5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c:style val="2"/>
  <c:chart>
    <c:title>
      <c:tx>
        <c:rich>
          <a:bodyPr/>
          <a:lstStyle/>
          <a:p>
            <a:r>
              <a:rPr lang="pt-BR"/>
              <a:t>Campos por domínio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7</xdr:row>
      <xdr:rowOff>0</xdr:rowOff>
    </xdr:from>
    <xdr:to>
      <xdr:col>9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apeamentoBRM" displayName="TabelaMapeamentoBRM" ref="A1:I71">
  <tableColumns count="9">
    <tableColumn id="1" xr3:uid="{00000000-0010-0000-0000-000001000000}" name="Domínio"/>
    <tableColumn id="2" xr3:uid="{00000000-0010-0000-0000-000002000000}" name="Macro grupo"/>
    <tableColumn id="3" xr3:uid="{00000000-0010-0000-0000-000003000000}" name="Grupo"/>
    <tableColumn id="4" xr3:uid="{00000000-0010-0000-0000-000004000000}" name="Campo solicitado"/>
    <tableColumn id="5" xr3:uid="{00000000-0010-0000-0000-000005000000}" name="Exemplo"/>
    <tableColumn id="6" xr3:uid="{00000000-0010-0000-0000-000006000000}" name="Classe BRM de referência"/>
    <tableColumn id="7" xr3:uid="{00000000-0010-0000-0000-000007000000}" name="Tabela core BRM de referência"/>
    <tableColumn id="8" xr3:uid="{00000000-0010-0000-0000-000008000000}" name="Tabela custom sugerida"/>
    <tableColumn id="9" xr3:uid="{00000000-0010-0000-0000-000009000000}" name="Observação de mapea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ionarioTecnicoTable" displayName="DicionarioTecnicoTable" ref="A3:V73">
  <tableColumns count="22">
    <tableColumn id="1" xr3:uid="{00000000-0010-0000-0100-000001000000}" name="ID do campo"/>
    <tableColumn id="2" xr3:uid="{00000000-0010-0000-0100-000002000000}" name="Campo solicitado"/>
    <tableColumn id="3" xr3:uid="{00000000-0010-0000-0100-000003000000}" name="Nome API"/>
    <tableColumn id="4" xr3:uid="{00000000-0010-0000-0100-000004000000}" name="JSON path"/>
    <tableColumn id="5" xr3:uid="{00000000-0010-0000-0100-000005000000}" name="Domínio"/>
    <tableColumn id="6" xr3:uid="{00000000-0010-0000-0100-000006000000}" name="Macro grupo"/>
    <tableColumn id="7" xr3:uid="{00000000-0010-0000-0100-000007000000}" name="Grupo"/>
    <tableColumn id="8" xr3:uid="{00000000-0010-0000-0100-000008000000}" name="Nível funcional"/>
    <tableColumn id="9" xr3:uid="{00000000-0010-0000-0100-000009000000}" name="Tipo de dado"/>
    <tableColumn id="10" xr3:uid="{00000000-0010-0000-0100-00000A000000}" name="Formato/máscara"/>
    <tableColumn id="11" xr3:uid="{00000000-0010-0000-0100-00000B000000}" name="Obrigatoriedade"/>
    <tableColumn id="12" xr3:uid="{00000000-0010-0000-0100-00000C000000}" name="Validação"/>
    <tableColumn id="13" xr3:uid="{00000000-0010-0000-0100-00000D000000}" name="Exemplo"/>
    <tableColumn id="14" xr3:uid="{00000000-0010-0000-0100-00000E000000}" name="Origem BRM"/>
    <tableColumn id="15" xr3:uid="{00000000-0010-0000-0100-00000F000000}" name="Tabela core BRM"/>
    <tableColumn id="16" xr3:uid="{00000000-0010-0000-0100-000010000000}" name="Origem custom"/>
    <tableColumn id="17" xr3:uid="{00000000-0010-0000-0100-000011000000}" name="Regra de cálculo/preenchimento"/>
    <tableColumn id="18" xr3:uid="{00000000-0010-0000-0100-000012000000}" name="Sensibilidade"/>
    <tableColumn id="19" xr3:uid="{00000000-0010-0000-0100-000013000000}" name="Prioridade"/>
    <tableColumn id="20" xr3:uid="{00000000-0010-0000-0100-000014000000}" name="Status documentação"/>
    <tableColumn id="21" xr3:uid="{00000000-0010-0000-0100-000015000000}" name="Observação de qualidade"/>
    <tableColumn id="22" xr3:uid="{00000000-0010-0000-0100-000016000000}" name="Observação origin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stasDicionarioTable" displayName="ListasDicionarioTable" ref="A1:E7">
  <tableColumns count="5">
    <tableColumn id="1" xr3:uid="{00000000-0010-0000-0200-000001000000}" name="Obrigatoriedade"/>
    <tableColumn id="2" xr3:uid="{00000000-0010-0000-0200-000002000000}" name="Tipo de dado"/>
    <tableColumn id="3" xr3:uid="{00000000-0010-0000-0200-000003000000}" name="Sensibilidade"/>
    <tableColumn id="4" xr3:uid="{00000000-0010-0000-0200-000004000000}" name="Prioridade"/>
    <tableColumn id="5" xr3:uid="{00000000-0010-0000-0200-000005000000}" name="Status document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workbookViewId="0"/>
  </sheetViews>
  <sheetFormatPr defaultRowHeight="13.8"/>
  <cols>
    <col min="1" max="1" width="16" customWidth="1"/>
    <col min="2" max="2" width="22" customWidth="1"/>
    <col min="3" max="3" width="26" customWidth="1"/>
    <col min="4" max="4" width="34" customWidth="1"/>
    <col min="5" max="5" width="24" customWidth="1"/>
    <col min="6" max="6" width="28" customWidth="1"/>
    <col min="7" max="7" width="34" customWidth="1"/>
    <col min="8" max="8" width="30" customWidth="1"/>
    <col min="9" max="9" width="58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7.6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27.6">
      <c r="A3" s="2" t="s">
        <v>9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 ht="27.6">
      <c r="A4" s="2" t="s">
        <v>9</v>
      </c>
      <c r="B4" s="2" t="s">
        <v>10</v>
      </c>
      <c r="C4" s="2" t="s">
        <v>11</v>
      </c>
      <c r="D4" s="2" t="s">
        <v>20</v>
      </c>
      <c r="E4" s="2" t="s">
        <v>21</v>
      </c>
      <c r="F4" s="2" t="s">
        <v>14</v>
      </c>
      <c r="G4" s="2" t="s">
        <v>15</v>
      </c>
      <c r="H4" s="2" t="s">
        <v>16</v>
      </c>
      <c r="I4" s="2" t="s">
        <v>17</v>
      </c>
    </row>
    <row r="5" spans="1:9" ht="27.6">
      <c r="A5" s="2" t="s">
        <v>9</v>
      </c>
      <c r="B5" s="2" t="s">
        <v>10</v>
      </c>
      <c r="C5" s="2" t="s">
        <v>22</v>
      </c>
      <c r="D5" s="2" t="s">
        <v>23</v>
      </c>
      <c r="E5" s="2" t="s">
        <v>13</v>
      </c>
      <c r="F5" s="2" t="s">
        <v>14</v>
      </c>
      <c r="G5" s="2" t="s">
        <v>15</v>
      </c>
      <c r="H5" s="2" t="s">
        <v>24</v>
      </c>
      <c r="I5" s="2" t="s">
        <v>17</v>
      </c>
    </row>
    <row r="6" spans="1:9" ht="27.6">
      <c r="A6" s="2" t="s">
        <v>9</v>
      </c>
      <c r="B6" s="2" t="s">
        <v>10</v>
      </c>
      <c r="C6" s="2" t="s">
        <v>22</v>
      </c>
      <c r="D6" s="2" t="s">
        <v>25</v>
      </c>
      <c r="E6" s="2" t="s">
        <v>26</v>
      </c>
      <c r="F6" s="2" t="s">
        <v>14</v>
      </c>
      <c r="G6" s="2" t="s">
        <v>15</v>
      </c>
      <c r="H6" s="2" t="s">
        <v>24</v>
      </c>
      <c r="I6" s="2" t="s">
        <v>17</v>
      </c>
    </row>
    <row r="7" spans="1:9" ht="27.6">
      <c r="A7" s="2" t="s">
        <v>9</v>
      </c>
      <c r="B7" s="2" t="s">
        <v>10</v>
      </c>
      <c r="C7" s="2" t="s">
        <v>22</v>
      </c>
      <c r="D7" s="2" t="s">
        <v>27</v>
      </c>
      <c r="E7" s="2" t="s">
        <v>28</v>
      </c>
      <c r="F7" s="2" t="s">
        <v>14</v>
      </c>
      <c r="G7" s="2" t="s">
        <v>15</v>
      </c>
      <c r="H7" s="2" t="s">
        <v>24</v>
      </c>
      <c r="I7" s="2" t="s">
        <v>17</v>
      </c>
    </row>
    <row r="8" spans="1:9" ht="27.6">
      <c r="A8" s="2" t="s">
        <v>9</v>
      </c>
      <c r="B8" s="2" t="s">
        <v>10</v>
      </c>
      <c r="C8" s="2" t="s">
        <v>29</v>
      </c>
      <c r="D8" s="2" t="s">
        <v>30</v>
      </c>
      <c r="E8" s="2" t="s">
        <v>13</v>
      </c>
      <c r="F8" s="2" t="s">
        <v>14</v>
      </c>
      <c r="G8" s="2" t="s">
        <v>15</v>
      </c>
      <c r="H8" s="2" t="s">
        <v>31</v>
      </c>
      <c r="I8" s="2" t="s">
        <v>17</v>
      </c>
    </row>
    <row r="9" spans="1:9" ht="27.6">
      <c r="A9" s="2" t="s">
        <v>9</v>
      </c>
      <c r="B9" s="2" t="s">
        <v>10</v>
      </c>
      <c r="C9" s="2" t="s">
        <v>29</v>
      </c>
      <c r="D9" s="2" t="s">
        <v>32</v>
      </c>
      <c r="E9" s="2" t="s">
        <v>33</v>
      </c>
      <c r="F9" s="2" t="s">
        <v>14</v>
      </c>
      <c r="G9" s="2" t="s">
        <v>15</v>
      </c>
      <c r="H9" s="2" t="s">
        <v>31</v>
      </c>
      <c r="I9" s="2" t="s">
        <v>17</v>
      </c>
    </row>
    <row r="10" spans="1:9" ht="27.6">
      <c r="A10" s="2" t="s">
        <v>9</v>
      </c>
      <c r="B10" s="2" t="s">
        <v>10</v>
      </c>
      <c r="C10" s="2" t="s">
        <v>29</v>
      </c>
      <c r="D10" s="2" t="s">
        <v>34</v>
      </c>
      <c r="E10" s="2" t="s">
        <v>35</v>
      </c>
      <c r="F10" s="2" t="s">
        <v>14</v>
      </c>
      <c r="G10" s="2" t="s">
        <v>15</v>
      </c>
      <c r="H10" s="2" t="s">
        <v>31</v>
      </c>
      <c r="I10" s="2" t="s">
        <v>17</v>
      </c>
    </row>
    <row r="11" spans="1:9" ht="27.6">
      <c r="A11" s="2" t="s">
        <v>9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14</v>
      </c>
      <c r="G11" s="2" t="s">
        <v>15</v>
      </c>
      <c r="H11" s="2" t="s">
        <v>40</v>
      </c>
      <c r="I11" s="2" t="s">
        <v>17</v>
      </c>
    </row>
    <row r="12" spans="1:9" ht="27.6">
      <c r="A12" s="2" t="s">
        <v>9</v>
      </c>
      <c r="B12" s="2" t="s">
        <v>36</v>
      </c>
      <c r="C12" s="2" t="s">
        <v>37</v>
      </c>
      <c r="D12" s="2" t="s">
        <v>41</v>
      </c>
      <c r="E12" s="2" t="s">
        <v>42</v>
      </c>
      <c r="F12" s="2" t="s">
        <v>14</v>
      </c>
      <c r="G12" s="2" t="s">
        <v>15</v>
      </c>
      <c r="H12" s="2" t="s">
        <v>40</v>
      </c>
      <c r="I12" s="2" t="s">
        <v>17</v>
      </c>
    </row>
    <row r="13" spans="1:9" ht="27.6">
      <c r="A13" s="2" t="s">
        <v>9</v>
      </c>
      <c r="B13" s="2" t="s">
        <v>36</v>
      </c>
      <c r="C13" s="2" t="s">
        <v>37</v>
      </c>
      <c r="D13" s="2" t="s">
        <v>43</v>
      </c>
      <c r="E13" s="2" t="s">
        <v>44</v>
      </c>
      <c r="F13" s="2" t="s">
        <v>14</v>
      </c>
      <c r="G13" s="2" t="s">
        <v>15</v>
      </c>
      <c r="H13" s="2" t="s">
        <v>40</v>
      </c>
      <c r="I13" s="2" t="s">
        <v>17</v>
      </c>
    </row>
    <row r="14" spans="1:9" ht="27.6">
      <c r="A14" s="2" t="s">
        <v>9</v>
      </c>
      <c r="B14" s="2" t="s">
        <v>36</v>
      </c>
      <c r="C14" s="2" t="s">
        <v>37</v>
      </c>
      <c r="D14" s="2" t="s">
        <v>45</v>
      </c>
      <c r="E14" s="2" t="s">
        <v>39</v>
      </c>
      <c r="F14" s="2" t="s">
        <v>14</v>
      </c>
      <c r="G14" s="2" t="s">
        <v>15</v>
      </c>
      <c r="H14" s="2" t="s">
        <v>40</v>
      </c>
      <c r="I14" s="2" t="s">
        <v>17</v>
      </c>
    </row>
    <row r="15" spans="1:9" ht="27.6">
      <c r="A15" s="2" t="s">
        <v>9</v>
      </c>
      <c r="B15" s="2" t="s">
        <v>36</v>
      </c>
      <c r="C15" s="2" t="s">
        <v>37</v>
      </c>
      <c r="D15" s="2" t="s">
        <v>46</v>
      </c>
      <c r="E15" s="2" t="s">
        <v>47</v>
      </c>
      <c r="F15" s="2" t="s">
        <v>14</v>
      </c>
      <c r="G15" s="2" t="s">
        <v>15</v>
      </c>
      <c r="H15" s="2" t="s">
        <v>40</v>
      </c>
      <c r="I15" s="2" t="s">
        <v>17</v>
      </c>
    </row>
    <row r="16" spans="1:9" ht="27.6">
      <c r="A16" s="2" t="s">
        <v>9</v>
      </c>
      <c r="B16" s="2" t="s">
        <v>36</v>
      </c>
      <c r="C16" s="2" t="s">
        <v>48</v>
      </c>
      <c r="D16" s="2" t="s">
        <v>49</v>
      </c>
      <c r="E16" s="2" t="s">
        <v>50</v>
      </c>
      <c r="F16" s="2" t="s">
        <v>14</v>
      </c>
      <c r="G16" s="2" t="s">
        <v>15</v>
      </c>
      <c r="H16" s="2" t="s">
        <v>51</v>
      </c>
      <c r="I16" s="2" t="s">
        <v>17</v>
      </c>
    </row>
    <row r="17" spans="1:9" ht="27.6">
      <c r="A17" s="2" t="s">
        <v>9</v>
      </c>
      <c r="B17" s="2" t="s">
        <v>36</v>
      </c>
      <c r="C17" s="2" t="s">
        <v>48</v>
      </c>
      <c r="D17" s="2" t="s">
        <v>52</v>
      </c>
      <c r="E17" s="2" t="s">
        <v>53</v>
      </c>
      <c r="F17" s="2" t="s">
        <v>14</v>
      </c>
      <c r="G17" s="2" t="s">
        <v>15</v>
      </c>
      <c r="H17" s="2" t="s">
        <v>51</v>
      </c>
      <c r="I17" s="2" t="s">
        <v>17</v>
      </c>
    </row>
    <row r="18" spans="1:9" ht="27.6">
      <c r="A18" s="2" t="s">
        <v>9</v>
      </c>
      <c r="B18" s="2" t="s">
        <v>36</v>
      </c>
      <c r="C18" s="2" t="s">
        <v>48</v>
      </c>
      <c r="D18" s="2" t="s">
        <v>54</v>
      </c>
      <c r="E18" s="2" t="s">
        <v>55</v>
      </c>
      <c r="F18" s="2" t="s">
        <v>14</v>
      </c>
      <c r="G18" s="2" t="s">
        <v>15</v>
      </c>
      <c r="H18" s="2" t="s">
        <v>51</v>
      </c>
      <c r="I18" s="2" t="s">
        <v>17</v>
      </c>
    </row>
    <row r="19" spans="1:9" ht="27.6">
      <c r="A19" s="2" t="s">
        <v>9</v>
      </c>
      <c r="B19" s="2" t="s">
        <v>36</v>
      </c>
      <c r="C19" s="2" t="s">
        <v>56</v>
      </c>
      <c r="D19" s="2" t="s">
        <v>57</v>
      </c>
      <c r="E19" s="2" t="s">
        <v>58</v>
      </c>
      <c r="F19" s="2" t="s">
        <v>14</v>
      </c>
      <c r="G19" s="2" t="s">
        <v>15</v>
      </c>
      <c r="H19" s="2" t="s">
        <v>59</v>
      </c>
      <c r="I19" s="2" t="s">
        <v>17</v>
      </c>
    </row>
    <row r="20" spans="1:9" ht="27.6">
      <c r="A20" s="2" t="s">
        <v>9</v>
      </c>
      <c r="B20" s="2" t="s">
        <v>36</v>
      </c>
      <c r="C20" s="2" t="s">
        <v>56</v>
      </c>
      <c r="D20" s="2" t="s">
        <v>60</v>
      </c>
      <c r="E20" s="2" t="s">
        <v>61</v>
      </c>
      <c r="F20" s="2" t="s">
        <v>14</v>
      </c>
      <c r="G20" s="2" t="s">
        <v>15</v>
      </c>
      <c r="H20" s="2" t="s">
        <v>59</v>
      </c>
      <c r="I20" s="2" t="s">
        <v>17</v>
      </c>
    </row>
    <row r="21" spans="1:9" ht="27.6">
      <c r="A21" s="2" t="s">
        <v>9</v>
      </c>
      <c r="B21" s="2" t="s">
        <v>36</v>
      </c>
      <c r="C21" s="2" t="s">
        <v>56</v>
      </c>
      <c r="D21" s="2" t="s">
        <v>62</v>
      </c>
      <c r="E21" s="2" t="s">
        <v>63</v>
      </c>
      <c r="F21" s="2" t="s">
        <v>14</v>
      </c>
      <c r="G21" s="2" t="s">
        <v>15</v>
      </c>
      <c r="H21" s="2" t="s">
        <v>59</v>
      </c>
      <c r="I21" s="2" t="s">
        <v>17</v>
      </c>
    </row>
    <row r="22" spans="1:9" ht="27.6">
      <c r="A22" s="2" t="s">
        <v>9</v>
      </c>
      <c r="B22" s="2" t="s">
        <v>36</v>
      </c>
      <c r="C22" s="2" t="s">
        <v>56</v>
      </c>
      <c r="D22" s="2" t="s">
        <v>64</v>
      </c>
      <c r="E22" s="2" t="s">
        <v>50</v>
      </c>
      <c r="F22" s="2" t="s">
        <v>14</v>
      </c>
      <c r="G22" s="2" t="s">
        <v>15</v>
      </c>
      <c r="H22" s="2" t="s">
        <v>59</v>
      </c>
      <c r="I22" s="2" t="s">
        <v>17</v>
      </c>
    </row>
    <row r="23" spans="1:9" ht="27.6">
      <c r="A23" s="2" t="s">
        <v>9</v>
      </c>
      <c r="B23" s="2" t="s">
        <v>36</v>
      </c>
      <c r="C23" s="2" t="s">
        <v>56</v>
      </c>
      <c r="D23" s="2" t="s">
        <v>65</v>
      </c>
      <c r="E23" s="2" t="s">
        <v>66</v>
      </c>
      <c r="F23" s="2" t="s">
        <v>14</v>
      </c>
      <c r="G23" s="2" t="s">
        <v>15</v>
      </c>
      <c r="H23" s="2" t="s">
        <v>59</v>
      </c>
      <c r="I23" s="2" t="s">
        <v>17</v>
      </c>
    </row>
    <row r="24" spans="1:9" ht="27.6">
      <c r="A24" s="2" t="s">
        <v>9</v>
      </c>
      <c r="B24" s="2" t="s">
        <v>36</v>
      </c>
      <c r="C24" s="2" t="s">
        <v>56</v>
      </c>
      <c r="D24" s="2" t="s">
        <v>67</v>
      </c>
      <c r="E24" s="2" t="s">
        <v>68</v>
      </c>
      <c r="F24" s="2" t="s">
        <v>14</v>
      </c>
      <c r="G24" s="2" t="s">
        <v>15</v>
      </c>
      <c r="H24" s="2" t="s">
        <v>59</v>
      </c>
      <c r="I24" s="2" t="s">
        <v>17</v>
      </c>
    </row>
    <row r="25" spans="1:9" ht="27.6">
      <c r="A25" s="2" t="s">
        <v>9</v>
      </c>
      <c r="B25" s="2" t="s">
        <v>36</v>
      </c>
      <c r="C25" s="2" t="s">
        <v>56</v>
      </c>
      <c r="D25" s="2" t="s">
        <v>69</v>
      </c>
      <c r="E25" s="2" t="s">
        <v>58</v>
      </c>
      <c r="F25" s="2" t="s">
        <v>14</v>
      </c>
      <c r="G25" s="2" t="s">
        <v>15</v>
      </c>
      <c r="H25" s="2" t="s">
        <v>59</v>
      </c>
      <c r="I25" s="2" t="s">
        <v>17</v>
      </c>
    </row>
    <row r="26" spans="1:9" ht="27.6">
      <c r="A26" s="2" t="s">
        <v>9</v>
      </c>
      <c r="B26" s="2" t="s">
        <v>36</v>
      </c>
      <c r="C26" s="2" t="s">
        <v>56</v>
      </c>
      <c r="D26" s="2" t="s">
        <v>70</v>
      </c>
      <c r="E26" s="2" t="s">
        <v>71</v>
      </c>
      <c r="F26" s="2" t="s">
        <v>14</v>
      </c>
      <c r="G26" s="2" t="s">
        <v>15</v>
      </c>
      <c r="H26" s="2" t="s">
        <v>59</v>
      </c>
      <c r="I26" s="2" t="s">
        <v>17</v>
      </c>
    </row>
    <row r="27" spans="1:9" ht="27.6">
      <c r="A27" s="2" t="s">
        <v>9</v>
      </c>
      <c r="B27" s="2" t="s">
        <v>36</v>
      </c>
      <c r="C27" s="2" t="s">
        <v>56</v>
      </c>
      <c r="D27" s="2" t="s">
        <v>72</v>
      </c>
      <c r="E27" s="2" t="s">
        <v>73</v>
      </c>
      <c r="F27" s="2" t="s">
        <v>14</v>
      </c>
      <c r="G27" s="2" t="s">
        <v>15</v>
      </c>
      <c r="H27" s="2" t="s">
        <v>59</v>
      </c>
      <c r="I27" s="2" t="s">
        <v>17</v>
      </c>
    </row>
    <row r="28" spans="1:9" ht="27.6">
      <c r="A28" s="2" t="s">
        <v>9</v>
      </c>
      <c r="B28" s="2" t="s">
        <v>36</v>
      </c>
      <c r="C28" s="2" t="s">
        <v>56</v>
      </c>
      <c r="D28" s="2" t="s">
        <v>74</v>
      </c>
      <c r="E28" s="2" t="s">
        <v>58</v>
      </c>
      <c r="F28" s="2" t="s">
        <v>14</v>
      </c>
      <c r="G28" s="2" t="s">
        <v>15</v>
      </c>
      <c r="H28" s="2" t="s">
        <v>59</v>
      </c>
      <c r="I28" s="2" t="s">
        <v>17</v>
      </c>
    </row>
    <row r="29" spans="1:9" ht="27.6">
      <c r="A29" s="2" t="s">
        <v>9</v>
      </c>
      <c r="B29" s="2" t="s">
        <v>36</v>
      </c>
      <c r="C29" s="2" t="s">
        <v>56</v>
      </c>
      <c r="D29" s="2" t="s">
        <v>75</v>
      </c>
      <c r="E29" s="2" t="s">
        <v>76</v>
      </c>
      <c r="F29" s="2" t="s">
        <v>14</v>
      </c>
      <c r="G29" s="2" t="s">
        <v>15</v>
      </c>
      <c r="H29" s="2" t="s">
        <v>59</v>
      </c>
      <c r="I29" s="2" t="s">
        <v>17</v>
      </c>
    </row>
    <row r="30" spans="1:9" ht="27.6">
      <c r="A30" s="2" t="s">
        <v>9</v>
      </c>
      <c r="B30" s="2" t="s">
        <v>36</v>
      </c>
      <c r="C30" s="2" t="s">
        <v>56</v>
      </c>
      <c r="D30" s="2" t="s">
        <v>77</v>
      </c>
      <c r="E30" s="2" t="s">
        <v>78</v>
      </c>
      <c r="F30" s="2" t="s">
        <v>14</v>
      </c>
      <c r="G30" s="2" t="s">
        <v>15</v>
      </c>
      <c r="H30" s="2" t="s">
        <v>59</v>
      </c>
      <c r="I30" s="2" t="s">
        <v>17</v>
      </c>
    </row>
    <row r="31" spans="1:9" ht="27.6">
      <c r="A31" s="2" t="s">
        <v>9</v>
      </c>
      <c r="B31" s="2" t="s">
        <v>36</v>
      </c>
      <c r="C31" s="2" t="s">
        <v>29</v>
      </c>
      <c r="D31" s="2" t="s">
        <v>79</v>
      </c>
      <c r="E31" s="2" t="s">
        <v>50</v>
      </c>
      <c r="F31" s="2" t="s">
        <v>14</v>
      </c>
      <c r="G31" s="2" t="s">
        <v>15</v>
      </c>
      <c r="H31" s="2" t="s">
        <v>31</v>
      </c>
      <c r="I31" s="2" t="s">
        <v>17</v>
      </c>
    </row>
    <row r="32" spans="1:9" ht="27.6">
      <c r="A32" s="2" t="s">
        <v>9</v>
      </c>
      <c r="B32" s="2" t="s">
        <v>36</v>
      </c>
      <c r="C32" s="2" t="s">
        <v>29</v>
      </c>
      <c r="D32" s="2" t="s">
        <v>80</v>
      </c>
      <c r="E32" s="2" t="s">
        <v>66</v>
      </c>
      <c r="F32" s="2" t="s">
        <v>14</v>
      </c>
      <c r="G32" s="2" t="s">
        <v>15</v>
      </c>
      <c r="H32" s="2" t="s">
        <v>31</v>
      </c>
      <c r="I32" s="2" t="s">
        <v>17</v>
      </c>
    </row>
    <row r="33" spans="1:9" ht="27.6">
      <c r="A33" s="2" t="s">
        <v>9</v>
      </c>
      <c r="B33" s="2" t="s">
        <v>36</v>
      </c>
      <c r="C33" s="2" t="s">
        <v>29</v>
      </c>
      <c r="D33" s="2" t="s">
        <v>81</v>
      </c>
      <c r="E33" s="2" t="s">
        <v>82</v>
      </c>
      <c r="F33" s="2" t="s">
        <v>14</v>
      </c>
      <c r="G33" s="2" t="s">
        <v>15</v>
      </c>
      <c r="H33" s="2" t="s">
        <v>31</v>
      </c>
      <c r="I33" s="2" t="s">
        <v>17</v>
      </c>
    </row>
    <row r="34" spans="1:9" ht="27.6">
      <c r="A34" s="2" t="s">
        <v>9</v>
      </c>
      <c r="B34" s="2" t="s">
        <v>36</v>
      </c>
      <c r="C34" s="2" t="s">
        <v>29</v>
      </c>
      <c r="D34" s="2" t="s">
        <v>83</v>
      </c>
      <c r="E34" s="2" t="s">
        <v>50</v>
      </c>
      <c r="F34" s="2" t="s">
        <v>14</v>
      </c>
      <c r="G34" s="2" t="s">
        <v>15</v>
      </c>
      <c r="H34" s="2" t="s">
        <v>31</v>
      </c>
      <c r="I34" s="2" t="s">
        <v>17</v>
      </c>
    </row>
    <row r="35" spans="1:9" ht="27.6">
      <c r="A35" s="2" t="s">
        <v>9</v>
      </c>
      <c r="B35" s="2" t="s">
        <v>36</v>
      </c>
      <c r="C35" s="2" t="s">
        <v>29</v>
      </c>
      <c r="D35" s="2" t="s">
        <v>84</v>
      </c>
      <c r="E35" s="2" t="s">
        <v>85</v>
      </c>
      <c r="F35" s="2" t="s">
        <v>14</v>
      </c>
      <c r="G35" s="2" t="s">
        <v>15</v>
      </c>
      <c r="H35" s="2" t="s">
        <v>31</v>
      </c>
      <c r="I35" s="2" t="s">
        <v>17</v>
      </c>
    </row>
    <row r="36" spans="1:9" ht="27.6">
      <c r="A36" s="2" t="s">
        <v>9</v>
      </c>
      <c r="B36" s="2" t="s">
        <v>36</v>
      </c>
      <c r="C36" s="2" t="s">
        <v>29</v>
      </c>
      <c r="D36" s="2" t="s">
        <v>86</v>
      </c>
      <c r="E36" s="2" t="s">
        <v>87</v>
      </c>
      <c r="F36" s="2" t="s">
        <v>14</v>
      </c>
      <c r="G36" s="2" t="s">
        <v>15</v>
      </c>
      <c r="H36" s="2" t="s">
        <v>31</v>
      </c>
      <c r="I36" s="2" t="s">
        <v>17</v>
      </c>
    </row>
    <row r="37" spans="1:9" ht="27.6">
      <c r="A37" s="2" t="s">
        <v>9</v>
      </c>
      <c r="B37" s="2" t="s">
        <v>88</v>
      </c>
      <c r="C37" s="2" t="s">
        <v>89</v>
      </c>
      <c r="D37" s="2" t="s">
        <v>90</v>
      </c>
      <c r="E37" s="2" t="s">
        <v>91</v>
      </c>
      <c r="F37" s="2" t="s">
        <v>92</v>
      </c>
      <c r="G37" s="2" t="s">
        <v>93</v>
      </c>
      <c r="H37" s="2" t="s">
        <v>94</v>
      </c>
      <c r="I37" s="2" t="s">
        <v>95</v>
      </c>
    </row>
    <row r="38" spans="1:9" ht="27.6">
      <c r="A38" s="2" t="s">
        <v>9</v>
      </c>
      <c r="B38" s="2" t="s">
        <v>96</v>
      </c>
      <c r="C38" s="2" t="s">
        <v>97</v>
      </c>
      <c r="D38" s="2" t="s">
        <v>98</v>
      </c>
      <c r="E38" s="2" t="s">
        <v>58</v>
      </c>
      <c r="F38" s="2" t="s">
        <v>14</v>
      </c>
      <c r="G38" s="2" t="s">
        <v>15</v>
      </c>
      <c r="H38" s="2" t="s">
        <v>99</v>
      </c>
      <c r="I38" s="2" t="s">
        <v>17</v>
      </c>
    </row>
    <row r="39" spans="1:9" ht="27.6">
      <c r="A39" s="2" t="s">
        <v>9</v>
      </c>
      <c r="B39" s="2" t="s">
        <v>96</v>
      </c>
      <c r="C39" s="2" t="s">
        <v>97</v>
      </c>
      <c r="D39" s="2" t="s">
        <v>100</v>
      </c>
      <c r="E39" s="2" t="s">
        <v>33</v>
      </c>
      <c r="F39" s="2" t="s">
        <v>14</v>
      </c>
      <c r="G39" s="2" t="s">
        <v>15</v>
      </c>
      <c r="H39" s="2" t="s">
        <v>99</v>
      </c>
      <c r="I39" s="2" t="s">
        <v>17</v>
      </c>
    </row>
    <row r="40" spans="1:9" ht="27.6">
      <c r="A40" s="2" t="s">
        <v>9</v>
      </c>
      <c r="B40" s="2" t="s">
        <v>96</v>
      </c>
      <c r="C40" s="2" t="s">
        <v>97</v>
      </c>
      <c r="D40" s="2" t="s">
        <v>101</v>
      </c>
      <c r="E40" s="2" t="s">
        <v>102</v>
      </c>
      <c r="F40" s="2" t="s">
        <v>14</v>
      </c>
      <c r="G40" s="2" t="s">
        <v>15</v>
      </c>
      <c r="H40" s="2" t="s">
        <v>99</v>
      </c>
      <c r="I40" s="2" t="s">
        <v>17</v>
      </c>
    </row>
    <row r="41" spans="1:9" ht="27.6">
      <c r="A41" s="2" t="s">
        <v>9</v>
      </c>
      <c r="B41" s="2" t="s">
        <v>96</v>
      </c>
      <c r="C41" s="2" t="s">
        <v>97</v>
      </c>
      <c r="D41" s="2" t="s">
        <v>103</v>
      </c>
      <c r="E41" s="2" t="s">
        <v>104</v>
      </c>
      <c r="F41" s="2" t="s">
        <v>92</v>
      </c>
      <c r="G41" s="2" t="s">
        <v>93</v>
      </c>
      <c r="H41" s="2" t="s">
        <v>94</v>
      </c>
      <c r="I41" s="2" t="s">
        <v>95</v>
      </c>
    </row>
    <row r="42" spans="1:9" ht="27.6">
      <c r="A42" s="2" t="s">
        <v>9</v>
      </c>
      <c r="B42" s="2" t="s">
        <v>96</v>
      </c>
      <c r="C42" s="2" t="s">
        <v>105</v>
      </c>
      <c r="D42" s="2" t="s">
        <v>106</v>
      </c>
      <c r="E42" s="2" t="s">
        <v>58</v>
      </c>
      <c r="F42" s="2" t="s">
        <v>14</v>
      </c>
      <c r="G42" s="2" t="s">
        <v>15</v>
      </c>
      <c r="H42" s="2" t="s">
        <v>107</v>
      </c>
      <c r="I42" s="2" t="s">
        <v>17</v>
      </c>
    </row>
    <row r="43" spans="1:9" ht="27.6">
      <c r="A43" s="2" t="s">
        <v>9</v>
      </c>
      <c r="B43" s="2" t="s">
        <v>96</v>
      </c>
      <c r="C43" s="2" t="s">
        <v>105</v>
      </c>
      <c r="D43" s="2" t="s">
        <v>108</v>
      </c>
      <c r="E43" s="2" t="s">
        <v>109</v>
      </c>
      <c r="F43" s="2" t="s">
        <v>14</v>
      </c>
      <c r="G43" s="2" t="s">
        <v>15</v>
      </c>
      <c r="H43" s="2" t="s">
        <v>107</v>
      </c>
      <c r="I43" s="2" t="s">
        <v>17</v>
      </c>
    </row>
    <row r="44" spans="1:9" ht="27.6">
      <c r="A44" s="2" t="s">
        <v>9</v>
      </c>
      <c r="B44" s="2" t="s">
        <v>96</v>
      </c>
      <c r="C44" s="2" t="s">
        <v>105</v>
      </c>
      <c r="D44" s="2" t="s">
        <v>110</v>
      </c>
      <c r="E44" s="2" t="s">
        <v>111</v>
      </c>
      <c r="F44" s="2" t="s">
        <v>14</v>
      </c>
      <c r="G44" s="2" t="s">
        <v>15</v>
      </c>
      <c r="H44" s="2" t="s">
        <v>107</v>
      </c>
      <c r="I44" s="2" t="s">
        <v>17</v>
      </c>
    </row>
    <row r="45" spans="1:9" ht="27.6">
      <c r="A45" s="2" t="s">
        <v>112</v>
      </c>
      <c r="B45" s="2" t="s">
        <v>113</v>
      </c>
      <c r="C45" s="2" t="s">
        <v>114</v>
      </c>
      <c r="D45" s="2" t="s">
        <v>115</v>
      </c>
      <c r="E45" s="2" t="s">
        <v>116</v>
      </c>
      <c r="F45" s="2" t="s">
        <v>117</v>
      </c>
      <c r="G45" s="2" t="s">
        <v>118</v>
      </c>
      <c r="H45" s="2" t="s">
        <v>119</v>
      </c>
      <c r="I45" s="2" t="s">
        <v>120</v>
      </c>
    </row>
    <row r="46" spans="1:9" ht="27.6">
      <c r="A46" s="2" t="s">
        <v>112</v>
      </c>
      <c r="B46" s="2" t="s">
        <v>113</v>
      </c>
      <c r="C46" s="2" t="s">
        <v>114</v>
      </c>
      <c r="D46" s="2" t="s">
        <v>121</v>
      </c>
      <c r="E46" s="2" t="s">
        <v>122</v>
      </c>
      <c r="F46" s="2" t="s">
        <v>117</v>
      </c>
      <c r="G46" s="2" t="s">
        <v>123</v>
      </c>
      <c r="H46" s="2" t="s">
        <v>119</v>
      </c>
      <c r="I46" s="2" t="s">
        <v>124</v>
      </c>
    </row>
    <row r="47" spans="1:9" ht="27.6">
      <c r="A47" s="2" t="s">
        <v>112</v>
      </c>
      <c r="B47" s="2" t="s">
        <v>113</v>
      </c>
      <c r="C47" s="2" t="s">
        <v>114</v>
      </c>
      <c r="D47" s="2" t="s">
        <v>125</v>
      </c>
      <c r="E47" s="2" t="s">
        <v>126</v>
      </c>
      <c r="F47" s="2" t="s">
        <v>117</v>
      </c>
      <c r="G47" s="2" t="s">
        <v>118</v>
      </c>
      <c r="H47" s="2" t="s">
        <v>119</v>
      </c>
      <c r="I47" s="2" t="s">
        <v>127</v>
      </c>
    </row>
    <row r="48" spans="1:9" ht="41.4">
      <c r="A48" s="2" t="s">
        <v>112</v>
      </c>
      <c r="B48" s="2" t="s">
        <v>113</v>
      </c>
      <c r="C48" s="2" t="s">
        <v>128</v>
      </c>
      <c r="D48" s="2" t="s">
        <v>129</v>
      </c>
      <c r="E48" s="2" t="s">
        <v>130</v>
      </c>
      <c r="F48" s="2" t="s">
        <v>131</v>
      </c>
      <c r="G48" s="2" t="s">
        <v>132</v>
      </c>
      <c r="H48" s="2" t="s">
        <v>133</v>
      </c>
      <c r="I48" s="2" t="s">
        <v>134</v>
      </c>
    </row>
    <row r="49" spans="1:9" ht="27.6">
      <c r="A49" s="2" t="s">
        <v>112</v>
      </c>
      <c r="B49" s="2" t="s">
        <v>113</v>
      </c>
      <c r="C49" s="2" t="s">
        <v>128</v>
      </c>
      <c r="D49" s="2" t="s">
        <v>135</v>
      </c>
      <c r="E49" s="2" t="s">
        <v>136</v>
      </c>
      <c r="F49" s="2" t="s">
        <v>131</v>
      </c>
      <c r="G49" s="2" t="s">
        <v>132</v>
      </c>
      <c r="H49" s="2" t="s">
        <v>137</v>
      </c>
      <c r="I49" s="2" t="s">
        <v>134</v>
      </c>
    </row>
    <row r="50" spans="1:9" ht="27.6">
      <c r="A50" s="2" t="s">
        <v>112</v>
      </c>
      <c r="B50" s="2" t="s">
        <v>113</v>
      </c>
      <c r="C50" s="2" t="s">
        <v>128</v>
      </c>
      <c r="D50" s="2" t="s">
        <v>138</v>
      </c>
      <c r="E50" s="2" t="s">
        <v>139</v>
      </c>
      <c r="F50" s="2" t="s">
        <v>131</v>
      </c>
      <c r="G50" s="2" t="s">
        <v>132</v>
      </c>
      <c r="H50" s="2" t="s">
        <v>137</v>
      </c>
      <c r="I50" s="2" t="s">
        <v>134</v>
      </c>
    </row>
    <row r="51" spans="1:9" ht="27.6">
      <c r="A51" s="2" t="s">
        <v>112</v>
      </c>
      <c r="B51" s="2" t="s">
        <v>113</v>
      </c>
      <c r="C51" s="2" t="s">
        <v>128</v>
      </c>
      <c r="D51" s="2" t="s">
        <v>140</v>
      </c>
      <c r="E51" s="2" t="s">
        <v>141</v>
      </c>
      <c r="F51" s="2" t="s">
        <v>131</v>
      </c>
      <c r="G51" s="2" t="s">
        <v>132</v>
      </c>
      <c r="H51" s="2" t="s">
        <v>137</v>
      </c>
      <c r="I51" s="2" t="s">
        <v>134</v>
      </c>
    </row>
    <row r="52" spans="1:9">
      <c r="A52" s="2" t="s">
        <v>112</v>
      </c>
      <c r="B52" s="2" t="s">
        <v>142</v>
      </c>
      <c r="C52" s="2" t="s">
        <v>143</v>
      </c>
      <c r="D52" s="2" t="s">
        <v>144</v>
      </c>
      <c r="E52" s="2" t="s">
        <v>145</v>
      </c>
      <c r="F52" s="2" t="s">
        <v>117</v>
      </c>
      <c r="G52" s="2" t="s">
        <v>146</v>
      </c>
      <c r="H52" s="2" t="s">
        <v>147</v>
      </c>
      <c r="I52" s="2" t="s">
        <v>148</v>
      </c>
    </row>
    <row r="53" spans="1:9" ht="27.6">
      <c r="A53" s="2" t="s">
        <v>112</v>
      </c>
      <c r="B53" s="2" t="s">
        <v>142</v>
      </c>
      <c r="C53" s="2" t="s">
        <v>143</v>
      </c>
      <c r="D53" s="2" t="s">
        <v>149</v>
      </c>
      <c r="E53" s="2" t="s">
        <v>150</v>
      </c>
      <c r="F53" s="2" t="s">
        <v>131</v>
      </c>
      <c r="G53" s="2" t="s">
        <v>132</v>
      </c>
      <c r="H53" s="2" t="s">
        <v>151</v>
      </c>
      <c r="I53" s="2" t="s">
        <v>152</v>
      </c>
    </row>
    <row r="54" spans="1:9" ht="27.6">
      <c r="A54" s="2" t="s">
        <v>112</v>
      </c>
      <c r="B54" s="2" t="s">
        <v>142</v>
      </c>
      <c r="C54" s="2" t="s">
        <v>143</v>
      </c>
      <c r="D54" s="2" t="s">
        <v>153</v>
      </c>
      <c r="E54" s="2" t="s">
        <v>154</v>
      </c>
      <c r="F54" s="2" t="s">
        <v>155</v>
      </c>
      <c r="G54" s="2" t="s">
        <v>156</v>
      </c>
      <c r="H54" s="2" t="s">
        <v>157</v>
      </c>
      <c r="I54" s="2" t="s">
        <v>158</v>
      </c>
    </row>
    <row r="55" spans="1:9">
      <c r="A55" s="2" t="s">
        <v>112</v>
      </c>
      <c r="B55" s="2" t="s">
        <v>142</v>
      </c>
      <c r="C55" s="2" t="s">
        <v>143</v>
      </c>
      <c r="D55" s="2" t="s">
        <v>159</v>
      </c>
      <c r="E55" s="2" t="s">
        <v>160</v>
      </c>
      <c r="F55" s="2" t="s">
        <v>161</v>
      </c>
      <c r="G55" s="2" t="s">
        <v>162</v>
      </c>
      <c r="H55" s="2" t="s">
        <v>151</v>
      </c>
      <c r="I55" s="2" t="s">
        <v>163</v>
      </c>
    </row>
    <row r="56" spans="1:9">
      <c r="A56" s="2" t="s">
        <v>112</v>
      </c>
      <c r="B56" s="2" t="s">
        <v>142</v>
      </c>
      <c r="C56" s="2" t="s">
        <v>143</v>
      </c>
      <c r="D56" s="2" t="s">
        <v>164</v>
      </c>
      <c r="E56" s="2" t="s">
        <v>165</v>
      </c>
      <c r="F56" s="2" t="s">
        <v>161</v>
      </c>
      <c r="G56" s="2" t="s">
        <v>162</v>
      </c>
      <c r="H56" s="2" t="s">
        <v>166</v>
      </c>
      <c r="I56" s="2" t="s">
        <v>163</v>
      </c>
    </row>
    <row r="57" spans="1:9">
      <c r="A57" s="2" t="s">
        <v>112</v>
      </c>
      <c r="B57" s="2" t="s">
        <v>167</v>
      </c>
      <c r="C57" s="2" t="s">
        <v>168</v>
      </c>
      <c r="D57" s="2" t="s">
        <v>169</v>
      </c>
      <c r="E57" s="2" t="s">
        <v>170</v>
      </c>
      <c r="F57" s="2" t="s">
        <v>171</v>
      </c>
      <c r="G57" s="2" t="s">
        <v>172</v>
      </c>
      <c r="H57" s="2" t="s">
        <v>173</v>
      </c>
      <c r="I57" s="2" t="s">
        <v>174</v>
      </c>
    </row>
    <row r="58" spans="1:9" ht="27.6">
      <c r="A58" s="2" t="s">
        <v>112</v>
      </c>
      <c r="B58" s="2" t="s">
        <v>167</v>
      </c>
      <c r="C58" s="2" t="s">
        <v>168</v>
      </c>
      <c r="D58" s="2" t="s">
        <v>175</v>
      </c>
      <c r="E58" s="2" t="s">
        <v>176</v>
      </c>
      <c r="F58" s="2" t="s">
        <v>131</v>
      </c>
      <c r="G58" s="2" t="s">
        <v>132</v>
      </c>
      <c r="H58" s="2" t="s">
        <v>177</v>
      </c>
      <c r="I58" s="2" t="s">
        <v>178</v>
      </c>
    </row>
    <row r="59" spans="1:9">
      <c r="A59" s="2" t="s">
        <v>112</v>
      </c>
      <c r="B59" s="2" t="s">
        <v>167</v>
      </c>
      <c r="C59" s="2" t="s">
        <v>168</v>
      </c>
      <c r="D59" s="2" t="s">
        <v>179</v>
      </c>
      <c r="E59" s="2" t="s">
        <v>180</v>
      </c>
      <c r="F59" s="2" t="s">
        <v>171</v>
      </c>
      <c r="G59" s="2" t="s">
        <v>172</v>
      </c>
      <c r="H59" s="2" t="s">
        <v>173</v>
      </c>
      <c r="I59" s="2" t="s">
        <v>174</v>
      </c>
    </row>
    <row r="60" spans="1:9" ht="27.6">
      <c r="A60" s="2" t="s">
        <v>112</v>
      </c>
      <c r="B60" s="2" t="s">
        <v>167</v>
      </c>
      <c r="C60" s="2" t="s">
        <v>181</v>
      </c>
      <c r="D60" s="2" t="s">
        <v>182</v>
      </c>
      <c r="E60" s="2" t="s">
        <v>183</v>
      </c>
      <c r="F60" s="2" t="s">
        <v>184</v>
      </c>
      <c r="G60" s="2" t="s">
        <v>15</v>
      </c>
      <c r="H60" s="2" t="s">
        <v>185</v>
      </c>
      <c r="I60" s="2" t="s">
        <v>186</v>
      </c>
    </row>
    <row r="61" spans="1:9" ht="27.6">
      <c r="A61" s="2" t="s">
        <v>112</v>
      </c>
      <c r="B61" s="2" t="s">
        <v>167</v>
      </c>
      <c r="C61" s="2" t="s">
        <v>181</v>
      </c>
      <c r="D61" s="2" t="s">
        <v>187</v>
      </c>
      <c r="E61" s="2" t="s">
        <v>188</v>
      </c>
      <c r="F61" s="2" t="s">
        <v>92</v>
      </c>
      <c r="G61" s="2" t="s">
        <v>93</v>
      </c>
      <c r="H61" s="2" t="s">
        <v>185</v>
      </c>
      <c r="I61" s="2" t="s">
        <v>189</v>
      </c>
    </row>
    <row r="62" spans="1:9" ht="27.6">
      <c r="A62" s="2" t="s">
        <v>112</v>
      </c>
      <c r="B62" s="2" t="s">
        <v>167</v>
      </c>
      <c r="C62" s="2" t="s">
        <v>181</v>
      </c>
      <c r="D62" s="2" t="s">
        <v>190</v>
      </c>
      <c r="E62" s="2" t="s">
        <v>191</v>
      </c>
      <c r="F62" s="2" t="s">
        <v>92</v>
      </c>
      <c r="G62" s="2" t="s">
        <v>93</v>
      </c>
      <c r="H62" s="2" t="s">
        <v>185</v>
      </c>
      <c r="I62" s="2" t="s">
        <v>189</v>
      </c>
    </row>
    <row r="63" spans="1:9" ht="27.6">
      <c r="A63" s="2" t="s">
        <v>112</v>
      </c>
      <c r="B63" s="2" t="s">
        <v>167</v>
      </c>
      <c r="C63" s="2" t="s">
        <v>181</v>
      </c>
      <c r="D63" s="2" t="s">
        <v>192</v>
      </c>
      <c r="E63" s="2" t="s">
        <v>193</v>
      </c>
      <c r="F63" s="2" t="s">
        <v>92</v>
      </c>
      <c r="G63" s="2" t="s">
        <v>93</v>
      </c>
      <c r="H63" s="2" t="s">
        <v>194</v>
      </c>
      <c r="I63" s="2" t="s">
        <v>189</v>
      </c>
    </row>
    <row r="64" spans="1:9">
      <c r="A64" s="2" t="s">
        <v>112</v>
      </c>
      <c r="B64" s="2" t="s">
        <v>167</v>
      </c>
      <c r="C64" s="2" t="s">
        <v>181</v>
      </c>
      <c r="D64" s="2" t="s">
        <v>195</v>
      </c>
      <c r="E64" s="2" t="s">
        <v>196</v>
      </c>
      <c r="F64" s="2" t="s">
        <v>197</v>
      </c>
      <c r="G64" s="2" t="s">
        <v>198</v>
      </c>
      <c r="H64" s="2" t="s">
        <v>199</v>
      </c>
      <c r="I64" s="2" t="s">
        <v>200</v>
      </c>
    </row>
    <row r="65" spans="1:9" ht="27.6">
      <c r="A65" s="2" t="s">
        <v>112</v>
      </c>
      <c r="B65" s="2" t="s">
        <v>167</v>
      </c>
      <c r="C65" s="2" t="s">
        <v>181</v>
      </c>
      <c r="D65" s="2" t="s">
        <v>201</v>
      </c>
      <c r="E65" s="2" t="s">
        <v>202</v>
      </c>
      <c r="F65" s="2" t="s">
        <v>184</v>
      </c>
      <c r="G65" s="2" t="s">
        <v>15</v>
      </c>
      <c r="H65" s="2" t="s">
        <v>185</v>
      </c>
      <c r="I65" s="2" t="s">
        <v>186</v>
      </c>
    </row>
    <row r="66" spans="1:9" ht="27.6">
      <c r="A66" s="2" t="s">
        <v>112</v>
      </c>
      <c r="B66" s="2" t="s">
        <v>167</v>
      </c>
      <c r="C66" s="2" t="s">
        <v>181</v>
      </c>
      <c r="D66" s="2" t="s">
        <v>203</v>
      </c>
      <c r="E66" s="2" t="s">
        <v>13</v>
      </c>
      <c r="F66" s="2" t="s">
        <v>184</v>
      </c>
      <c r="G66" s="2" t="s">
        <v>15</v>
      </c>
      <c r="H66" s="2" t="s">
        <v>185</v>
      </c>
      <c r="I66" s="2" t="s">
        <v>186</v>
      </c>
    </row>
    <row r="67" spans="1:9" ht="27.6">
      <c r="A67" s="2" t="s">
        <v>112</v>
      </c>
      <c r="B67" s="2" t="s">
        <v>167</v>
      </c>
      <c r="C67" s="2" t="s">
        <v>181</v>
      </c>
      <c r="D67" s="2" t="s">
        <v>204</v>
      </c>
      <c r="E67" s="2" t="s">
        <v>13</v>
      </c>
      <c r="F67" s="2" t="s">
        <v>184</v>
      </c>
      <c r="G67" s="2" t="s">
        <v>15</v>
      </c>
      <c r="H67" s="2" t="s">
        <v>185</v>
      </c>
      <c r="I67" s="2" t="s">
        <v>186</v>
      </c>
    </row>
    <row r="68" spans="1:9" ht="41.4">
      <c r="A68" s="2" t="s">
        <v>112</v>
      </c>
      <c r="B68" s="2" t="s">
        <v>205</v>
      </c>
      <c r="C68" s="2" t="s">
        <v>206</v>
      </c>
      <c r="D68" s="2" t="s">
        <v>207</v>
      </c>
      <c r="E68" s="2" t="s">
        <v>130</v>
      </c>
      <c r="F68" s="2" t="s">
        <v>131</v>
      </c>
      <c r="G68" s="2" t="s">
        <v>132</v>
      </c>
      <c r="H68" s="2" t="s">
        <v>208</v>
      </c>
      <c r="I68" s="2" t="s">
        <v>134</v>
      </c>
    </row>
    <row r="69" spans="1:9" ht="27.6">
      <c r="A69" s="2" t="s">
        <v>112</v>
      </c>
      <c r="B69" s="2" t="s">
        <v>205</v>
      </c>
      <c r="C69" s="2" t="s">
        <v>209</v>
      </c>
      <c r="D69" s="2" t="s">
        <v>135</v>
      </c>
      <c r="E69" s="2" t="s">
        <v>136</v>
      </c>
      <c r="F69" s="2" t="s">
        <v>131</v>
      </c>
      <c r="G69" s="2" t="s">
        <v>132</v>
      </c>
      <c r="H69" s="2" t="s">
        <v>137</v>
      </c>
      <c r="I69" s="2" t="s">
        <v>134</v>
      </c>
    </row>
    <row r="70" spans="1:9" ht="27.6">
      <c r="A70" s="2" t="s">
        <v>112</v>
      </c>
      <c r="B70" s="2" t="s">
        <v>205</v>
      </c>
      <c r="C70" s="2" t="s">
        <v>209</v>
      </c>
      <c r="D70" s="2" t="s">
        <v>138</v>
      </c>
      <c r="E70" s="2" t="s">
        <v>139</v>
      </c>
      <c r="F70" s="2" t="s">
        <v>131</v>
      </c>
      <c r="G70" s="2" t="s">
        <v>132</v>
      </c>
      <c r="H70" s="2" t="s">
        <v>137</v>
      </c>
      <c r="I70" s="2" t="s">
        <v>134</v>
      </c>
    </row>
    <row r="71" spans="1:9" ht="27.6">
      <c r="A71" s="2" t="s">
        <v>112</v>
      </c>
      <c r="B71" s="2" t="s">
        <v>205</v>
      </c>
      <c r="C71" s="2" t="s">
        <v>209</v>
      </c>
      <c r="D71" s="2" t="s">
        <v>140</v>
      </c>
      <c r="E71" s="2" t="s">
        <v>141</v>
      </c>
      <c r="F71" s="2" t="s">
        <v>131</v>
      </c>
      <c r="G71" s="2" t="s">
        <v>132</v>
      </c>
      <c r="H71" s="2" t="s">
        <v>137</v>
      </c>
      <c r="I71" s="2" t="s">
        <v>134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/>
  </sheetViews>
  <sheetFormatPr defaultRowHeight="13.8"/>
  <cols>
    <col min="1" max="2" width="30" customWidth="1"/>
    <col min="4" max="5" width="34" customWidth="1"/>
  </cols>
  <sheetData>
    <row r="1" spans="1:5" ht="21">
      <c r="A1" s="4" t="s">
        <v>210</v>
      </c>
    </row>
    <row r="3" spans="1:5">
      <c r="A3" s="5" t="s">
        <v>211</v>
      </c>
      <c r="B3">
        <v>70</v>
      </c>
      <c r="D3" s="1" t="s">
        <v>5</v>
      </c>
      <c r="E3" s="1" t="s">
        <v>212</v>
      </c>
    </row>
    <row r="4" spans="1:5">
      <c r="A4" s="5" t="s">
        <v>213</v>
      </c>
      <c r="B4">
        <v>43</v>
      </c>
      <c r="D4" t="s">
        <v>117</v>
      </c>
      <c r="E4">
        <v>4</v>
      </c>
    </row>
    <row r="5" spans="1:5">
      <c r="A5" s="5" t="s">
        <v>214</v>
      </c>
      <c r="B5">
        <v>27</v>
      </c>
      <c r="D5" t="s">
        <v>171</v>
      </c>
      <c r="E5">
        <v>2</v>
      </c>
    </row>
    <row r="6" spans="1:5">
      <c r="D6" t="s">
        <v>161</v>
      </c>
      <c r="E6">
        <v>2</v>
      </c>
    </row>
    <row r="7" spans="1:5">
      <c r="D7" t="s">
        <v>155</v>
      </c>
      <c r="E7">
        <v>1</v>
      </c>
    </row>
    <row r="8" spans="1:5">
      <c r="D8" t="s">
        <v>131</v>
      </c>
      <c r="E8">
        <v>10</v>
      </c>
    </row>
    <row r="9" spans="1:5">
      <c r="D9" t="s">
        <v>184</v>
      </c>
      <c r="E9">
        <v>4</v>
      </c>
    </row>
    <row r="10" spans="1:5">
      <c r="D10" t="s">
        <v>14</v>
      </c>
      <c r="E10">
        <v>41</v>
      </c>
    </row>
    <row r="11" spans="1:5">
      <c r="D11" t="s">
        <v>92</v>
      </c>
      <c r="E11">
        <v>5</v>
      </c>
    </row>
    <row r="12" spans="1:5">
      <c r="D12" t="s">
        <v>197</v>
      </c>
      <c r="E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/>
  </sheetViews>
  <sheetFormatPr defaultRowHeight="13.8"/>
  <cols>
    <col min="1" max="1" width="38" customWidth="1"/>
    <col min="2" max="2" width="110" customWidth="1"/>
  </cols>
  <sheetData>
    <row r="1" spans="1:2">
      <c r="A1" s="6" t="s">
        <v>215</v>
      </c>
      <c r="B1" s="6" t="s">
        <v>216</v>
      </c>
    </row>
    <row r="2" spans="1:2">
      <c r="A2" s="2" t="s">
        <v>217</v>
      </c>
      <c r="B2" s="2" t="s">
        <v>218</v>
      </c>
    </row>
    <row r="3" spans="1:2" ht="27.6">
      <c r="A3" s="2" t="s">
        <v>219</v>
      </c>
      <c r="B3" s="2" t="s">
        <v>220</v>
      </c>
    </row>
    <row r="4" spans="1:2" ht="27.6">
      <c r="A4" s="2" t="s">
        <v>221</v>
      </c>
      <c r="B4" s="2" t="s">
        <v>222</v>
      </c>
    </row>
    <row r="5" spans="1:2" ht="27.6">
      <c r="A5" s="2" t="s">
        <v>223</v>
      </c>
      <c r="B5" s="2" t="s">
        <v>224</v>
      </c>
    </row>
    <row r="6" spans="1:2">
      <c r="A6" s="2" t="s">
        <v>225</v>
      </c>
      <c r="B6" s="2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73"/>
  <sheetViews>
    <sheetView workbookViewId="0">
      <selection sqref="A1:V1"/>
    </sheetView>
  </sheetViews>
  <sheetFormatPr defaultRowHeight="13.8"/>
  <cols>
    <col min="1" max="1" width="12" customWidth="1"/>
    <col min="2" max="2" width="28" customWidth="1"/>
    <col min="3" max="3" width="26" customWidth="1"/>
    <col min="4" max="4" width="48" customWidth="1"/>
    <col min="5" max="5" width="16" customWidth="1"/>
    <col min="6" max="6" width="18" customWidth="1"/>
    <col min="7" max="7" width="26" customWidth="1"/>
    <col min="8" max="8" width="18" customWidth="1"/>
    <col min="9" max="9" width="14" customWidth="1"/>
    <col min="10" max="10" width="38" customWidth="1"/>
    <col min="11" max="11" width="16" customWidth="1"/>
    <col min="12" max="12" width="48" customWidth="1"/>
    <col min="13" max="13" width="22" customWidth="1"/>
    <col min="14" max="14" width="30" customWidth="1"/>
    <col min="15" max="15" width="32" customWidth="1"/>
    <col min="16" max="16" width="26" customWidth="1"/>
    <col min="17" max="17" width="54" customWidth="1"/>
    <col min="18" max="18" width="18" customWidth="1"/>
    <col min="19" max="19" width="12" customWidth="1"/>
    <col min="20" max="20" width="24" customWidth="1"/>
    <col min="21" max="22" width="42" customWidth="1"/>
  </cols>
  <sheetData>
    <row r="1" spans="1:22" ht="22.35" customHeight="1">
      <c r="A1" s="11" t="s">
        <v>227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ht="27.15" customHeight="1">
      <c r="A2" s="12" t="s">
        <v>228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33.6" customHeight="1">
      <c r="A3" s="6" t="s">
        <v>229</v>
      </c>
      <c r="B3" s="6" t="s">
        <v>3</v>
      </c>
      <c r="C3" s="6" t="s">
        <v>230</v>
      </c>
      <c r="D3" s="6" t="s">
        <v>231</v>
      </c>
      <c r="E3" s="6" t="s">
        <v>0</v>
      </c>
      <c r="F3" s="6" t="s">
        <v>1</v>
      </c>
      <c r="G3" s="6" t="s">
        <v>2</v>
      </c>
      <c r="H3" s="6" t="s">
        <v>232</v>
      </c>
      <c r="I3" s="6" t="s">
        <v>233</v>
      </c>
      <c r="J3" s="6" t="s">
        <v>234</v>
      </c>
      <c r="K3" s="6" t="s">
        <v>235</v>
      </c>
      <c r="L3" s="6" t="s">
        <v>236</v>
      </c>
      <c r="M3" s="6" t="s">
        <v>4</v>
      </c>
      <c r="N3" s="6" t="s">
        <v>237</v>
      </c>
      <c r="O3" s="6" t="s">
        <v>238</v>
      </c>
      <c r="P3" s="6" t="s">
        <v>239</v>
      </c>
      <c r="Q3" s="6" t="s">
        <v>240</v>
      </c>
      <c r="R3" s="6" t="s">
        <v>241</v>
      </c>
      <c r="S3" s="6" t="s">
        <v>242</v>
      </c>
      <c r="T3" s="6" t="s">
        <v>243</v>
      </c>
      <c r="U3" s="6" t="s">
        <v>244</v>
      </c>
      <c r="V3" s="6" t="s">
        <v>245</v>
      </c>
    </row>
    <row r="4" spans="1:22" ht="41.4">
      <c r="A4" s="8" t="s">
        <v>246</v>
      </c>
      <c r="B4" s="7" t="s">
        <v>12</v>
      </c>
      <c r="C4" s="8" t="s">
        <v>247</v>
      </c>
      <c r="D4" s="8" t="s">
        <v>248</v>
      </c>
      <c r="E4" s="7" t="s">
        <v>9</v>
      </c>
      <c r="F4" s="7" t="s">
        <v>10</v>
      </c>
      <c r="G4" s="7" t="s">
        <v>11</v>
      </c>
      <c r="H4" s="7" t="s">
        <v>249</v>
      </c>
      <c r="I4" s="7" t="s">
        <v>250</v>
      </c>
      <c r="J4" s="7" t="s">
        <v>251</v>
      </c>
      <c r="K4" s="7" t="s">
        <v>252</v>
      </c>
      <c r="L4" s="7" t="s">
        <v>253</v>
      </c>
      <c r="M4" s="8" t="s">
        <v>13</v>
      </c>
      <c r="N4" s="8" t="s">
        <v>14</v>
      </c>
      <c r="O4" s="8" t="s">
        <v>15</v>
      </c>
      <c r="P4" s="8" t="s">
        <v>16</v>
      </c>
      <c r="Q4" s="7" t="s">
        <v>254</v>
      </c>
      <c r="R4" s="7" t="s">
        <v>255</v>
      </c>
      <c r="S4" s="7" t="s">
        <v>256</v>
      </c>
      <c r="T4" s="7" t="s">
        <v>257</v>
      </c>
      <c r="U4" s="7"/>
      <c r="V4" s="7" t="s">
        <v>17</v>
      </c>
    </row>
    <row r="5" spans="1:22" ht="41.4">
      <c r="A5" s="8" t="s">
        <v>258</v>
      </c>
      <c r="B5" s="7" t="s">
        <v>18</v>
      </c>
      <c r="C5" s="8" t="s">
        <v>259</v>
      </c>
      <c r="D5" s="8" t="s">
        <v>260</v>
      </c>
      <c r="E5" s="7" t="s">
        <v>9</v>
      </c>
      <c r="F5" s="7" t="s">
        <v>10</v>
      </c>
      <c r="G5" s="7" t="s">
        <v>11</v>
      </c>
      <c r="H5" s="7" t="s">
        <v>249</v>
      </c>
      <c r="I5" s="7" t="s">
        <v>250</v>
      </c>
      <c r="J5" s="7" t="s">
        <v>261</v>
      </c>
      <c r="K5" s="7" t="s">
        <v>252</v>
      </c>
      <c r="L5" s="7" t="s">
        <v>262</v>
      </c>
      <c r="M5" s="8" t="s">
        <v>19</v>
      </c>
      <c r="N5" s="8" t="s">
        <v>14</v>
      </c>
      <c r="O5" s="8" t="s">
        <v>15</v>
      </c>
      <c r="P5" s="8" t="s">
        <v>16</v>
      </c>
      <c r="Q5" s="7" t="s">
        <v>254</v>
      </c>
      <c r="R5" s="7" t="s">
        <v>255</v>
      </c>
      <c r="S5" s="7" t="s">
        <v>256</v>
      </c>
      <c r="T5" s="7" t="s">
        <v>257</v>
      </c>
      <c r="U5" s="7"/>
      <c r="V5" s="7" t="s">
        <v>17</v>
      </c>
    </row>
    <row r="6" spans="1:22" ht="41.4">
      <c r="A6" s="8" t="s">
        <v>263</v>
      </c>
      <c r="B6" s="7" t="s">
        <v>20</v>
      </c>
      <c r="C6" s="8" t="s">
        <v>264</v>
      </c>
      <c r="D6" s="8" t="s">
        <v>265</v>
      </c>
      <c r="E6" s="7" t="s">
        <v>9</v>
      </c>
      <c r="F6" s="7" t="s">
        <v>10</v>
      </c>
      <c r="G6" s="7" t="s">
        <v>11</v>
      </c>
      <c r="H6" s="7" t="s">
        <v>249</v>
      </c>
      <c r="I6" s="7" t="s">
        <v>250</v>
      </c>
      <c r="J6" s="7" t="s">
        <v>251</v>
      </c>
      <c r="K6" s="7" t="s">
        <v>252</v>
      </c>
      <c r="L6" s="7" t="s">
        <v>266</v>
      </c>
      <c r="M6" s="8" t="s">
        <v>21</v>
      </c>
      <c r="N6" s="8" t="s">
        <v>14</v>
      </c>
      <c r="O6" s="8" t="s">
        <v>15</v>
      </c>
      <c r="P6" s="8" t="s">
        <v>16</v>
      </c>
      <c r="Q6" s="7" t="s">
        <v>254</v>
      </c>
      <c r="R6" s="7" t="s">
        <v>255</v>
      </c>
      <c r="S6" s="7" t="s">
        <v>256</v>
      </c>
      <c r="T6" s="7" t="s">
        <v>257</v>
      </c>
      <c r="U6" s="7"/>
      <c r="V6" s="7" t="s">
        <v>17</v>
      </c>
    </row>
    <row r="7" spans="1:22" ht="41.4">
      <c r="A7" s="8" t="s">
        <v>267</v>
      </c>
      <c r="B7" s="7" t="s">
        <v>23</v>
      </c>
      <c r="C7" s="8" t="s">
        <v>268</v>
      </c>
      <c r="D7" s="8" t="s">
        <v>269</v>
      </c>
      <c r="E7" s="7" t="s">
        <v>9</v>
      </c>
      <c r="F7" s="7" t="s">
        <v>10</v>
      </c>
      <c r="G7" s="7" t="s">
        <v>22</v>
      </c>
      <c r="H7" s="7" t="s">
        <v>249</v>
      </c>
      <c r="I7" s="7" t="s">
        <v>250</v>
      </c>
      <c r="J7" s="7" t="s">
        <v>251</v>
      </c>
      <c r="K7" s="7" t="s">
        <v>252</v>
      </c>
      <c r="L7" s="7" t="s">
        <v>253</v>
      </c>
      <c r="M7" s="8" t="s">
        <v>13</v>
      </c>
      <c r="N7" s="8" t="s">
        <v>14</v>
      </c>
      <c r="O7" s="8" t="s">
        <v>15</v>
      </c>
      <c r="P7" s="8" t="s">
        <v>24</v>
      </c>
      <c r="Q7" s="7" t="s">
        <v>270</v>
      </c>
      <c r="R7" s="7" t="s">
        <v>255</v>
      </c>
      <c r="S7" s="7" t="s">
        <v>256</v>
      </c>
      <c r="T7" s="7" t="s">
        <v>257</v>
      </c>
      <c r="U7" s="7"/>
      <c r="V7" s="7" t="s">
        <v>17</v>
      </c>
    </row>
    <row r="8" spans="1:22" ht="41.4">
      <c r="A8" s="8" t="s">
        <v>271</v>
      </c>
      <c r="B8" s="7" t="s">
        <v>25</v>
      </c>
      <c r="C8" s="8" t="s">
        <v>272</v>
      </c>
      <c r="D8" s="8" t="s">
        <v>273</v>
      </c>
      <c r="E8" s="7" t="s">
        <v>9</v>
      </c>
      <c r="F8" s="7" t="s">
        <v>10</v>
      </c>
      <c r="G8" s="7" t="s">
        <v>22</v>
      </c>
      <c r="H8" s="7" t="s">
        <v>249</v>
      </c>
      <c r="I8" s="7" t="s">
        <v>250</v>
      </c>
      <c r="J8" s="7" t="s">
        <v>261</v>
      </c>
      <c r="K8" s="7" t="s">
        <v>252</v>
      </c>
      <c r="L8" s="7" t="s">
        <v>262</v>
      </c>
      <c r="M8" s="8" t="s">
        <v>26</v>
      </c>
      <c r="N8" s="8" t="s">
        <v>14</v>
      </c>
      <c r="O8" s="8" t="s">
        <v>15</v>
      </c>
      <c r="P8" s="8" t="s">
        <v>24</v>
      </c>
      <c r="Q8" s="7" t="s">
        <v>270</v>
      </c>
      <c r="R8" s="7" t="s">
        <v>255</v>
      </c>
      <c r="S8" s="7" t="s">
        <v>256</v>
      </c>
      <c r="T8" s="7" t="s">
        <v>257</v>
      </c>
      <c r="U8" s="7"/>
      <c r="V8" s="7" t="s">
        <v>17</v>
      </c>
    </row>
    <row r="9" spans="1:22" ht="41.4">
      <c r="A9" s="8" t="s">
        <v>274</v>
      </c>
      <c r="B9" s="7" t="s">
        <v>27</v>
      </c>
      <c r="C9" s="8" t="s">
        <v>275</v>
      </c>
      <c r="D9" s="8" t="s">
        <v>276</v>
      </c>
      <c r="E9" s="7" t="s">
        <v>9</v>
      </c>
      <c r="F9" s="7" t="s">
        <v>10</v>
      </c>
      <c r="G9" s="7" t="s">
        <v>22</v>
      </c>
      <c r="H9" s="7" t="s">
        <v>249</v>
      </c>
      <c r="I9" s="7" t="s">
        <v>250</v>
      </c>
      <c r="J9" s="7" t="s">
        <v>251</v>
      </c>
      <c r="K9" s="7" t="s">
        <v>252</v>
      </c>
      <c r="L9" s="7" t="s">
        <v>266</v>
      </c>
      <c r="M9" s="8" t="s">
        <v>28</v>
      </c>
      <c r="N9" s="8" t="s">
        <v>14</v>
      </c>
      <c r="O9" s="8" t="s">
        <v>15</v>
      </c>
      <c r="P9" s="8" t="s">
        <v>24</v>
      </c>
      <c r="Q9" s="7" t="s">
        <v>270</v>
      </c>
      <c r="R9" s="7" t="s">
        <v>255</v>
      </c>
      <c r="S9" s="7" t="s">
        <v>256</v>
      </c>
      <c r="T9" s="7" t="s">
        <v>257</v>
      </c>
      <c r="U9" s="7"/>
      <c r="V9" s="7" t="s">
        <v>17</v>
      </c>
    </row>
    <row r="10" spans="1:22" ht="41.4">
      <c r="A10" s="8" t="s">
        <v>277</v>
      </c>
      <c r="B10" s="7" t="s">
        <v>30</v>
      </c>
      <c r="C10" s="8" t="s">
        <v>278</v>
      </c>
      <c r="D10" s="8" t="s">
        <v>279</v>
      </c>
      <c r="E10" s="7" t="s">
        <v>9</v>
      </c>
      <c r="F10" s="7" t="s">
        <v>10</v>
      </c>
      <c r="G10" s="7" t="s">
        <v>29</v>
      </c>
      <c r="H10" s="7" t="s">
        <v>280</v>
      </c>
      <c r="I10" s="7" t="s">
        <v>250</v>
      </c>
      <c r="J10" s="7" t="s">
        <v>251</v>
      </c>
      <c r="K10" s="7" t="s">
        <v>252</v>
      </c>
      <c r="L10" s="7" t="s">
        <v>253</v>
      </c>
      <c r="M10" s="8" t="s">
        <v>13</v>
      </c>
      <c r="N10" s="8" t="s">
        <v>14</v>
      </c>
      <c r="O10" s="8" t="s">
        <v>15</v>
      </c>
      <c r="P10" s="8" t="s">
        <v>31</v>
      </c>
      <c r="Q10" s="7" t="s">
        <v>281</v>
      </c>
      <c r="R10" s="7" t="s">
        <v>255</v>
      </c>
      <c r="S10" s="7" t="s">
        <v>256</v>
      </c>
      <c r="T10" s="7" t="s">
        <v>257</v>
      </c>
      <c r="U10" s="7"/>
      <c r="V10" s="7" t="s">
        <v>17</v>
      </c>
    </row>
    <row r="11" spans="1:22" ht="41.4">
      <c r="A11" s="8" t="s">
        <v>282</v>
      </c>
      <c r="B11" s="7" t="s">
        <v>32</v>
      </c>
      <c r="C11" s="8" t="s">
        <v>283</v>
      </c>
      <c r="D11" s="8" t="s">
        <v>284</v>
      </c>
      <c r="E11" s="7" t="s">
        <v>9</v>
      </c>
      <c r="F11" s="7" t="s">
        <v>10</v>
      </c>
      <c r="G11" s="7" t="s">
        <v>29</v>
      </c>
      <c r="H11" s="7" t="s">
        <v>280</v>
      </c>
      <c r="I11" s="7" t="s">
        <v>250</v>
      </c>
      <c r="J11" s="7" t="s">
        <v>261</v>
      </c>
      <c r="K11" s="7" t="s">
        <v>252</v>
      </c>
      <c r="L11" s="7" t="s">
        <v>262</v>
      </c>
      <c r="M11" s="8" t="s">
        <v>33</v>
      </c>
      <c r="N11" s="8" t="s">
        <v>14</v>
      </c>
      <c r="O11" s="8" t="s">
        <v>15</v>
      </c>
      <c r="P11" s="8" t="s">
        <v>31</v>
      </c>
      <c r="Q11" s="7" t="s">
        <v>281</v>
      </c>
      <c r="R11" s="7" t="s">
        <v>255</v>
      </c>
      <c r="S11" s="7" t="s">
        <v>256</v>
      </c>
      <c r="T11" s="7" t="s">
        <v>257</v>
      </c>
      <c r="U11" s="7"/>
      <c r="V11" s="7" t="s">
        <v>17</v>
      </c>
    </row>
    <row r="12" spans="1:22" ht="41.4">
      <c r="A12" s="8" t="s">
        <v>285</v>
      </c>
      <c r="B12" s="7" t="s">
        <v>34</v>
      </c>
      <c r="C12" s="8" t="s">
        <v>286</v>
      </c>
      <c r="D12" s="8" t="s">
        <v>287</v>
      </c>
      <c r="E12" s="7" t="s">
        <v>9</v>
      </c>
      <c r="F12" s="7" t="s">
        <v>10</v>
      </c>
      <c r="G12" s="7" t="s">
        <v>29</v>
      </c>
      <c r="H12" s="7" t="s">
        <v>280</v>
      </c>
      <c r="I12" s="7" t="s">
        <v>250</v>
      </c>
      <c r="J12" s="7" t="s">
        <v>251</v>
      </c>
      <c r="K12" s="7" t="s">
        <v>252</v>
      </c>
      <c r="L12" s="7" t="s">
        <v>266</v>
      </c>
      <c r="M12" s="8" t="s">
        <v>35</v>
      </c>
      <c r="N12" s="8" t="s">
        <v>14</v>
      </c>
      <c r="O12" s="8" t="s">
        <v>15</v>
      </c>
      <c r="P12" s="8" t="s">
        <v>31</v>
      </c>
      <c r="Q12" s="7" t="s">
        <v>281</v>
      </c>
      <c r="R12" s="7" t="s">
        <v>255</v>
      </c>
      <c r="S12" s="7" t="s">
        <v>256</v>
      </c>
      <c r="T12" s="7" t="s">
        <v>257</v>
      </c>
      <c r="U12" s="7"/>
      <c r="V12" s="7" t="s">
        <v>17</v>
      </c>
    </row>
    <row r="13" spans="1:22" ht="41.4">
      <c r="A13" s="8" t="s">
        <v>288</v>
      </c>
      <c r="B13" s="7" t="s">
        <v>38</v>
      </c>
      <c r="C13" s="8" t="s">
        <v>289</v>
      </c>
      <c r="D13" s="8" t="s">
        <v>290</v>
      </c>
      <c r="E13" s="7" t="s">
        <v>9</v>
      </c>
      <c r="F13" s="7" t="s">
        <v>36</v>
      </c>
      <c r="G13" s="7" t="s">
        <v>37</v>
      </c>
      <c r="H13" s="7" t="s">
        <v>249</v>
      </c>
      <c r="I13" s="7" t="s">
        <v>250</v>
      </c>
      <c r="J13" s="7" t="s">
        <v>251</v>
      </c>
      <c r="K13" s="7" t="s">
        <v>252</v>
      </c>
      <c r="L13" s="7" t="s">
        <v>253</v>
      </c>
      <c r="M13" s="8" t="s">
        <v>39</v>
      </c>
      <c r="N13" s="8" t="s">
        <v>14</v>
      </c>
      <c r="O13" s="8" t="s">
        <v>15</v>
      </c>
      <c r="P13" s="8" t="s">
        <v>40</v>
      </c>
      <c r="Q13" s="7" t="s">
        <v>291</v>
      </c>
      <c r="R13" s="7" t="s">
        <v>255</v>
      </c>
      <c r="S13" s="7" t="s">
        <v>256</v>
      </c>
      <c r="T13" s="7" t="s">
        <v>257</v>
      </c>
      <c r="U13" s="7"/>
      <c r="V13" s="7" t="s">
        <v>17</v>
      </c>
    </row>
    <row r="14" spans="1:22" ht="41.4">
      <c r="A14" s="8" t="s">
        <v>292</v>
      </c>
      <c r="B14" s="7" t="s">
        <v>41</v>
      </c>
      <c r="C14" s="8" t="s">
        <v>293</v>
      </c>
      <c r="D14" s="8" t="s">
        <v>294</v>
      </c>
      <c r="E14" s="7" t="s">
        <v>9</v>
      </c>
      <c r="F14" s="7" t="s">
        <v>36</v>
      </c>
      <c r="G14" s="7" t="s">
        <v>37</v>
      </c>
      <c r="H14" s="7" t="s">
        <v>249</v>
      </c>
      <c r="I14" s="7" t="s">
        <v>250</v>
      </c>
      <c r="J14" s="7" t="s">
        <v>261</v>
      </c>
      <c r="K14" s="7" t="s">
        <v>252</v>
      </c>
      <c r="L14" s="7" t="s">
        <v>262</v>
      </c>
      <c r="M14" s="8" t="s">
        <v>42</v>
      </c>
      <c r="N14" s="8" t="s">
        <v>14</v>
      </c>
      <c r="O14" s="8" t="s">
        <v>15</v>
      </c>
      <c r="P14" s="8" t="s">
        <v>40</v>
      </c>
      <c r="Q14" s="7" t="s">
        <v>291</v>
      </c>
      <c r="R14" s="7" t="s">
        <v>255</v>
      </c>
      <c r="S14" s="7" t="s">
        <v>256</v>
      </c>
      <c r="T14" s="7" t="s">
        <v>257</v>
      </c>
      <c r="U14" s="7"/>
      <c r="V14" s="7" t="s">
        <v>17</v>
      </c>
    </row>
    <row r="15" spans="1:22" ht="41.4">
      <c r="A15" s="8" t="s">
        <v>295</v>
      </c>
      <c r="B15" s="7" t="s">
        <v>43</v>
      </c>
      <c r="C15" s="8" t="s">
        <v>296</v>
      </c>
      <c r="D15" s="8" t="s">
        <v>297</v>
      </c>
      <c r="E15" s="7" t="s">
        <v>9</v>
      </c>
      <c r="F15" s="7" t="s">
        <v>36</v>
      </c>
      <c r="G15" s="7" t="s">
        <v>37</v>
      </c>
      <c r="H15" s="7" t="s">
        <v>249</v>
      </c>
      <c r="I15" s="7" t="s">
        <v>250</v>
      </c>
      <c r="J15" s="7" t="s">
        <v>251</v>
      </c>
      <c r="K15" s="7" t="s">
        <v>252</v>
      </c>
      <c r="L15" s="7" t="s">
        <v>266</v>
      </c>
      <c r="M15" s="8" t="s">
        <v>44</v>
      </c>
      <c r="N15" s="8" t="s">
        <v>14</v>
      </c>
      <c r="O15" s="8" t="s">
        <v>15</v>
      </c>
      <c r="P15" s="8" t="s">
        <v>40</v>
      </c>
      <c r="Q15" s="7" t="s">
        <v>291</v>
      </c>
      <c r="R15" s="7" t="s">
        <v>255</v>
      </c>
      <c r="S15" s="7" t="s">
        <v>256</v>
      </c>
      <c r="T15" s="7" t="s">
        <v>257</v>
      </c>
      <c r="U15" s="7"/>
      <c r="V15" s="7" t="s">
        <v>17</v>
      </c>
    </row>
    <row r="16" spans="1:22" ht="41.4">
      <c r="A16" s="8" t="s">
        <v>298</v>
      </c>
      <c r="B16" s="7" t="s">
        <v>45</v>
      </c>
      <c r="C16" s="8" t="s">
        <v>299</v>
      </c>
      <c r="D16" s="8" t="s">
        <v>300</v>
      </c>
      <c r="E16" s="7" t="s">
        <v>9</v>
      </c>
      <c r="F16" s="7" t="s">
        <v>36</v>
      </c>
      <c r="G16" s="7" t="s">
        <v>37</v>
      </c>
      <c r="H16" s="7" t="s">
        <v>249</v>
      </c>
      <c r="I16" s="7" t="s">
        <v>250</v>
      </c>
      <c r="J16" s="7" t="s">
        <v>251</v>
      </c>
      <c r="K16" s="7" t="s">
        <v>252</v>
      </c>
      <c r="L16" s="7" t="s">
        <v>253</v>
      </c>
      <c r="M16" s="8" t="s">
        <v>39</v>
      </c>
      <c r="N16" s="8" t="s">
        <v>14</v>
      </c>
      <c r="O16" s="8" t="s">
        <v>15</v>
      </c>
      <c r="P16" s="8" t="s">
        <v>40</v>
      </c>
      <c r="Q16" s="7" t="s">
        <v>301</v>
      </c>
      <c r="R16" s="7" t="s">
        <v>255</v>
      </c>
      <c r="S16" s="7" t="s">
        <v>256</v>
      </c>
      <c r="T16" s="7" t="s">
        <v>257</v>
      </c>
      <c r="U16" s="7"/>
      <c r="V16" s="7" t="s">
        <v>17</v>
      </c>
    </row>
    <row r="17" spans="1:22" ht="41.4">
      <c r="A17" s="8" t="s">
        <v>302</v>
      </c>
      <c r="B17" s="7" t="s">
        <v>46</v>
      </c>
      <c r="C17" s="8" t="s">
        <v>303</v>
      </c>
      <c r="D17" s="8" t="s">
        <v>304</v>
      </c>
      <c r="E17" s="7" t="s">
        <v>9</v>
      </c>
      <c r="F17" s="7" t="s">
        <v>36</v>
      </c>
      <c r="G17" s="7" t="s">
        <v>37</v>
      </c>
      <c r="H17" s="7" t="s">
        <v>249</v>
      </c>
      <c r="I17" s="7" t="s">
        <v>250</v>
      </c>
      <c r="J17" s="7" t="s">
        <v>251</v>
      </c>
      <c r="K17" s="7" t="s">
        <v>252</v>
      </c>
      <c r="L17" s="7" t="s">
        <v>266</v>
      </c>
      <c r="M17" s="8" t="s">
        <v>47</v>
      </c>
      <c r="N17" s="8" t="s">
        <v>14</v>
      </c>
      <c r="O17" s="8" t="s">
        <v>15</v>
      </c>
      <c r="P17" s="8" t="s">
        <v>40</v>
      </c>
      <c r="Q17" s="7" t="s">
        <v>301</v>
      </c>
      <c r="R17" s="7" t="s">
        <v>255</v>
      </c>
      <c r="S17" s="7" t="s">
        <v>256</v>
      </c>
      <c r="T17" s="7" t="s">
        <v>257</v>
      </c>
      <c r="U17" s="7" t="s">
        <v>305</v>
      </c>
      <c r="V17" s="7" t="s">
        <v>17</v>
      </c>
    </row>
    <row r="18" spans="1:22" ht="41.4">
      <c r="A18" s="8" t="s">
        <v>306</v>
      </c>
      <c r="B18" s="7" t="s">
        <v>49</v>
      </c>
      <c r="C18" s="8" t="s">
        <v>307</v>
      </c>
      <c r="D18" s="8" t="s">
        <v>308</v>
      </c>
      <c r="E18" s="7" t="s">
        <v>9</v>
      </c>
      <c r="F18" s="7" t="s">
        <v>36</v>
      </c>
      <c r="G18" s="7" t="s">
        <v>48</v>
      </c>
      <c r="H18" s="7" t="s">
        <v>249</v>
      </c>
      <c r="I18" s="7" t="s">
        <v>250</v>
      </c>
      <c r="J18" s="7" t="s">
        <v>251</v>
      </c>
      <c r="K18" s="7" t="s">
        <v>252</v>
      </c>
      <c r="L18" s="7" t="s">
        <v>253</v>
      </c>
      <c r="M18" s="8" t="s">
        <v>50</v>
      </c>
      <c r="N18" s="8" t="s">
        <v>14</v>
      </c>
      <c r="O18" s="8" t="s">
        <v>15</v>
      </c>
      <c r="P18" s="8" t="s">
        <v>51</v>
      </c>
      <c r="Q18" s="7" t="s">
        <v>309</v>
      </c>
      <c r="R18" s="7" t="s">
        <v>255</v>
      </c>
      <c r="S18" s="7" t="s">
        <v>256</v>
      </c>
      <c r="T18" s="7" t="s">
        <v>310</v>
      </c>
      <c r="U18" s="7" t="s">
        <v>311</v>
      </c>
      <c r="V18" s="7" t="s">
        <v>17</v>
      </c>
    </row>
    <row r="19" spans="1:22" ht="41.4">
      <c r="A19" s="8" t="s">
        <v>312</v>
      </c>
      <c r="B19" s="7" t="s">
        <v>52</v>
      </c>
      <c r="C19" s="8" t="s">
        <v>313</v>
      </c>
      <c r="D19" s="8" t="s">
        <v>314</v>
      </c>
      <c r="E19" s="7" t="s">
        <v>9</v>
      </c>
      <c r="F19" s="7" t="s">
        <v>36</v>
      </c>
      <c r="G19" s="7" t="s">
        <v>48</v>
      </c>
      <c r="H19" s="7" t="s">
        <v>249</v>
      </c>
      <c r="I19" s="7" t="s">
        <v>250</v>
      </c>
      <c r="J19" s="7" t="s">
        <v>261</v>
      </c>
      <c r="K19" s="7" t="s">
        <v>252</v>
      </c>
      <c r="L19" s="7" t="s">
        <v>262</v>
      </c>
      <c r="M19" s="8" t="s">
        <v>53</v>
      </c>
      <c r="N19" s="8" t="s">
        <v>14</v>
      </c>
      <c r="O19" s="8" t="s">
        <v>15</v>
      </c>
      <c r="P19" s="8" t="s">
        <v>51</v>
      </c>
      <c r="Q19" s="7" t="s">
        <v>309</v>
      </c>
      <c r="R19" s="7" t="s">
        <v>255</v>
      </c>
      <c r="S19" s="7" t="s">
        <v>256</v>
      </c>
      <c r="T19" s="7" t="s">
        <v>257</v>
      </c>
      <c r="U19" s="7"/>
      <c r="V19" s="7" t="s">
        <v>17</v>
      </c>
    </row>
    <row r="20" spans="1:22" ht="41.4">
      <c r="A20" s="8" t="s">
        <v>315</v>
      </c>
      <c r="B20" s="7" t="s">
        <v>54</v>
      </c>
      <c r="C20" s="8" t="s">
        <v>316</v>
      </c>
      <c r="D20" s="8" t="s">
        <v>317</v>
      </c>
      <c r="E20" s="7" t="s">
        <v>9</v>
      </c>
      <c r="F20" s="7" t="s">
        <v>36</v>
      </c>
      <c r="G20" s="7" t="s">
        <v>48</v>
      </c>
      <c r="H20" s="7" t="s">
        <v>249</v>
      </c>
      <c r="I20" s="7" t="s">
        <v>250</v>
      </c>
      <c r="J20" s="7" t="s">
        <v>251</v>
      </c>
      <c r="K20" s="7" t="s">
        <v>252</v>
      </c>
      <c r="L20" s="7" t="s">
        <v>266</v>
      </c>
      <c r="M20" s="8" t="s">
        <v>55</v>
      </c>
      <c r="N20" s="8" t="s">
        <v>14</v>
      </c>
      <c r="O20" s="8" t="s">
        <v>15</v>
      </c>
      <c r="P20" s="8" t="s">
        <v>51</v>
      </c>
      <c r="Q20" s="7" t="s">
        <v>309</v>
      </c>
      <c r="R20" s="7" t="s">
        <v>255</v>
      </c>
      <c r="S20" s="7" t="s">
        <v>256</v>
      </c>
      <c r="T20" s="7" t="s">
        <v>257</v>
      </c>
      <c r="U20" s="7"/>
      <c r="V20" s="7" t="s">
        <v>17</v>
      </c>
    </row>
    <row r="21" spans="1:22" ht="41.4">
      <c r="A21" s="8" t="s">
        <v>318</v>
      </c>
      <c r="B21" s="7" t="s">
        <v>57</v>
      </c>
      <c r="C21" s="8" t="s">
        <v>319</v>
      </c>
      <c r="D21" s="8" t="s">
        <v>320</v>
      </c>
      <c r="E21" s="7" t="s">
        <v>9</v>
      </c>
      <c r="F21" s="7" t="s">
        <v>36</v>
      </c>
      <c r="G21" s="7" t="s">
        <v>56</v>
      </c>
      <c r="H21" s="7" t="s">
        <v>321</v>
      </c>
      <c r="I21" s="7" t="s">
        <v>250</v>
      </c>
      <c r="J21" s="7" t="s">
        <v>251</v>
      </c>
      <c r="K21" s="7" t="s">
        <v>252</v>
      </c>
      <c r="L21" s="7" t="s">
        <v>253</v>
      </c>
      <c r="M21" s="8" t="s">
        <v>58</v>
      </c>
      <c r="N21" s="8" t="s">
        <v>14</v>
      </c>
      <c r="O21" s="8" t="s">
        <v>15</v>
      </c>
      <c r="P21" s="8" t="s">
        <v>59</v>
      </c>
      <c r="Q21" s="7" t="s">
        <v>322</v>
      </c>
      <c r="R21" s="7" t="s">
        <v>255</v>
      </c>
      <c r="S21" s="7" t="s">
        <v>256</v>
      </c>
      <c r="T21" s="7" t="s">
        <v>257</v>
      </c>
      <c r="U21" s="7"/>
      <c r="V21" s="7" t="s">
        <v>17</v>
      </c>
    </row>
    <row r="22" spans="1:22" ht="41.4">
      <c r="A22" s="8" t="s">
        <v>323</v>
      </c>
      <c r="B22" s="7" t="s">
        <v>60</v>
      </c>
      <c r="C22" s="8" t="s">
        <v>324</v>
      </c>
      <c r="D22" s="8" t="s">
        <v>325</v>
      </c>
      <c r="E22" s="7" t="s">
        <v>9</v>
      </c>
      <c r="F22" s="7" t="s">
        <v>36</v>
      </c>
      <c r="G22" s="7" t="s">
        <v>56</v>
      </c>
      <c r="H22" s="7" t="s">
        <v>321</v>
      </c>
      <c r="I22" s="7" t="s">
        <v>250</v>
      </c>
      <c r="J22" s="7" t="s">
        <v>261</v>
      </c>
      <c r="K22" s="7" t="s">
        <v>252</v>
      </c>
      <c r="L22" s="7" t="s">
        <v>262</v>
      </c>
      <c r="M22" s="8" t="s">
        <v>61</v>
      </c>
      <c r="N22" s="8" t="s">
        <v>14</v>
      </c>
      <c r="O22" s="8" t="s">
        <v>15</v>
      </c>
      <c r="P22" s="8" t="s">
        <v>59</v>
      </c>
      <c r="Q22" s="7" t="s">
        <v>322</v>
      </c>
      <c r="R22" s="7" t="s">
        <v>255</v>
      </c>
      <c r="S22" s="7" t="s">
        <v>256</v>
      </c>
      <c r="T22" s="7" t="s">
        <v>257</v>
      </c>
      <c r="U22" s="7"/>
      <c r="V22" s="7" t="s">
        <v>17</v>
      </c>
    </row>
    <row r="23" spans="1:22" ht="41.4">
      <c r="A23" s="8" t="s">
        <v>326</v>
      </c>
      <c r="B23" s="7" t="s">
        <v>62</v>
      </c>
      <c r="C23" s="8" t="s">
        <v>327</v>
      </c>
      <c r="D23" s="8" t="s">
        <v>328</v>
      </c>
      <c r="E23" s="7" t="s">
        <v>9</v>
      </c>
      <c r="F23" s="7" t="s">
        <v>36</v>
      </c>
      <c r="G23" s="7" t="s">
        <v>56</v>
      </c>
      <c r="H23" s="7" t="s">
        <v>321</v>
      </c>
      <c r="I23" s="7" t="s">
        <v>250</v>
      </c>
      <c r="J23" s="7" t="s">
        <v>251</v>
      </c>
      <c r="K23" s="7" t="s">
        <v>252</v>
      </c>
      <c r="L23" s="7" t="s">
        <v>266</v>
      </c>
      <c r="M23" s="8" t="s">
        <v>63</v>
      </c>
      <c r="N23" s="8" t="s">
        <v>14</v>
      </c>
      <c r="O23" s="8" t="s">
        <v>15</v>
      </c>
      <c r="P23" s="8" t="s">
        <v>59</v>
      </c>
      <c r="Q23" s="7" t="s">
        <v>322</v>
      </c>
      <c r="R23" s="7" t="s">
        <v>255</v>
      </c>
      <c r="S23" s="7" t="s">
        <v>256</v>
      </c>
      <c r="T23" s="7" t="s">
        <v>257</v>
      </c>
      <c r="U23" s="7"/>
      <c r="V23" s="7" t="s">
        <v>17</v>
      </c>
    </row>
    <row r="24" spans="1:22" ht="41.4">
      <c r="A24" s="8" t="s">
        <v>329</v>
      </c>
      <c r="B24" s="7" t="s">
        <v>64</v>
      </c>
      <c r="C24" s="8" t="s">
        <v>330</v>
      </c>
      <c r="D24" s="8" t="s">
        <v>331</v>
      </c>
      <c r="E24" s="7" t="s">
        <v>9</v>
      </c>
      <c r="F24" s="7" t="s">
        <v>36</v>
      </c>
      <c r="G24" s="7" t="s">
        <v>56</v>
      </c>
      <c r="H24" s="7" t="s">
        <v>321</v>
      </c>
      <c r="I24" s="7" t="s">
        <v>250</v>
      </c>
      <c r="J24" s="7" t="s">
        <v>251</v>
      </c>
      <c r="K24" s="7" t="s">
        <v>252</v>
      </c>
      <c r="L24" s="7" t="s">
        <v>253</v>
      </c>
      <c r="M24" s="8" t="s">
        <v>50</v>
      </c>
      <c r="N24" s="8" t="s">
        <v>14</v>
      </c>
      <c r="O24" s="8" t="s">
        <v>15</v>
      </c>
      <c r="P24" s="8" t="s">
        <v>59</v>
      </c>
      <c r="Q24" s="7" t="s">
        <v>332</v>
      </c>
      <c r="R24" s="7" t="s">
        <v>255</v>
      </c>
      <c r="S24" s="7" t="s">
        <v>256</v>
      </c>
      <c r="T24" s="7" t="s">
        <v>310</v>
      </c>
      <c r="U24" s="7" t="s">
        <v>311</v>
      </c>
      <c r="V24" s="7" t="s">
        <v>17</v>
      </c>
    </row>
    <row r="25" spans="1:22" ht="41.4">
      <c r="A25" s="8" t="s">
        <v>333</v>
      </c>
      <c r="B25" s="7" t="s">
        <v>65</v>
      </c>
      <c r="C25" s="8" t="s">
        <v>334</v>
      </c>
      <c r="D25" s="8" t="s">
        <v>335</v>
      </c>
      <c r="E25" s="7" t="s">
        <v>9</v>
      </c>
      <c r="F25" s="7" t="s">
        <v>36</v>
      </c>
      <c r="G25" s="7" t="s">
        <v>56</v>
      </c>
      <c r="H25" s="7" t="s">
        <v>321</v>
      </c>
      <c r="I25" s="7" t="s">
        <v>250</v>
      </c>
      <c r="J25" s="7" t="s">
        <v>261</v>
      </c>
      <c r="K25" s="7" t="s">
        <v>252</v>
      </c>
      <c r="L25" s="7" t="s">
        <v>262</v>
      </c>
      <c r="M25" s="8" t="s">
        <v>66</v>
      </c>
      <c r="N25" s="8" t="s">
        <v>14</v>
      </c>
      <c r="O25" s="8" t="s">
        <v>15</v>
      </c>
      <c r="P25" s="8" t="s">
        <v>59</v>
      </c>
      <c r="Q25" s="7" t="s">
        <v>332</v>
      </c>
      <c r="R25" s="7" t="s">
        <v>255</v>
      </c>
      <c r="S25" s="7" t="s">
        <v>256</v>
      </c>
      <c r="T25" s="7" t="s">
        <v>257</v>
      </c>
      <c r="U25" s="7"/>
      <c r="V25" s="7" t="s">
        <v>17</v>
      </c>
    </row>
    <row r="26" spans="1:22" ht="41.4">
      <c r="A26" s="8" t="s">
        <v>336</v>
      </c>
      <c r="B26" s="7" t="s">
        <v>67</v>
      </c>
      <c r="C26" s="8" t="s">
        <v>337</v>
      </c>
      <c r="D26" s="8" t="s">
        <v>338</v>
      </c>
      <c r="E26" s="7" t="s">
        <v>9</v>
      </c>
      <c r="F26" s="7" t="s">
        <v>36</v>
      </c>
      <c r="G26" s="7" t="s">
        <v>56</v>
      </c>
      <c r="H26" s="7" t="s">
        <v>321</v>
      </c>
      <c r="I26" s="7" t="s">
        <v>250</v>
      </c>
      <c r="J26" s="7" t="s">
        <v>251</v>
      </c>
      <c r="K26" s="7" t="s">
        <v>252</v>
      </c>
      <c r="L26" s="7" t="s">
        <v>266</v>
      </c>
      <c r="M26" s="8" t="s">
        <v>68</v>
      </c>
      <c r="N26" s="8" t="s">
        <v>14</v>
      </c>
      <c r="O26" s="8" t="s">
        <v>15</v>
      </c>
      <c r="P26" s="8" t="s">
        <v>59</v>
      </c>
      <c r="Q26" s="7" t="s">
        <v>332</v>
      </c>
      <c r="R26" s="7" t="s">
        <v>255</v>
      </c>
      <c r="S26" s="7" t="s">
        <v>256</v>
      </c>
      <c r="T26" s="7" t="s">
        <v>257</v>
      </c>
      <c r="U26" s="7"/>
      <c r="V26" s="7" t="s">
        <v>17</v>
      </c>
    </row>
    <row r="27" spans="1:22" ht="41.4">
      <c r="A27" s="8" t="s">
        <v>339</v>
      </c>
      <c r="B27" s="7" t="s">
        <v>69</v>
      </c>
      <c r="C27" s="8" t="s">
        <v>289</v>
      </c>
      <c r="D27" s="8" t="s">
        <v>340</v>
      </c>
      <c r="E27" s="7" t="s">
        <v>9</v>
      </c>
      <c r="F27" s="7" t="s">
        <v>36</v>
      </c>
      <c r="G27" s="7" t="s">
        <v>56</v>
      </c>
      <c r="H27" s="7" t="s">
        <v>321</v>
      </c>
      <c r="I27" s="7" t="s">
        <v>250</v>
      </c>
      <c r="J27" s="7" t="s">
        <v>251</v>
      </c>
      <c r="K27" s="7" t="s">
        <v>252</v>
      </c>
      <c r="L27" s="7" t="s">
        <v>253</v>
      </c>
      <c r="M27" s="8" t="s">
        <v>58</v>
      </c>
      <c r="N27" s="8" t="s">
        <v>14</v>
      </c>
      <c r="O27" s="8" t="s">
        <v>15</v>
      </c>
      <c r="P27" s="8" t="s">
        <v>59</v>
      </c>
      <c r="Q27" s="7" t="s">
        <v>341</v>
      </c>
      <c r="R27" s="7" t="s">
        <v>255</v>
      </c>
      <c r="S27" s="7" t="s">
        <v>256</v>
      </c>
      <c r="T27" s="7" t="s">
        <v>257</v>
      </c>
      <c r="U27" s="7"/>
      <c r="V27" s="7" t="s">
        <v>17</v>
      </c>
    </row>
    <row r="28" spans="1:22" ht="41.4">
      <c r="A28" s="8" t="s">
        <v>342</v>
      </c>
      <c r="B28" s="7" t="s">
        <v>70</v>
      </c>
      <c r="C28" s="8" t="s">
        <v>293</v>
      </c>
      <c r="D28" s="8" t="s">
        <v>343</v>
      </c>
      <c r="E28" s="7" t="s">
        <v>9</v>
      </c>
      <c r="F28" s="7" t="s">
        <v>36</v>
      </c>
      <c r="G28" s="7" t="s">
        <v>56</v>
      </c>
      <c r="H28" s="7" t="s">
        <v>321</v>
      </c>
      <c r="I28" s="7" t="s">
        <v>250</v>
      </c>
      <c r="J28" s="7" t="s">
        <v>261</v>
      </c>
      <c r="K28" s="7" t="s">
        <v>252</v>
      </c>
      <c r="L28" s="7" t="s">
        <v>262</v>
      </c>
      <c r="M28" s="8" t="s">
        <v>71</v>
      </c>
      <c r="N28" s="8" t="s">
        <v>14</v>
      </c>
      <c r="O28" s="8" t="s">
        <v>15</v>
      </c>
      <c r="P28" s="8" t="s">
        <v>59</v>
      </c>
      <c r="Q28" s="7" t="s">
        <v>341</v>
      </c>
      <c r="R28" s="7" t="s">
        <v>255</v>
      </c>
      <c r="S28" s="7" t="s">
        <v>256</v>
      </c>
      <c r="T28" s="7" t="s">
        <v>257</v>
      </c>
      <c r="U28" s="7"/>
      <c r="V28" s="7" t="s">
        <v>17</v>
      </c>
    </row>
    <row r="29" spans="1:22" ht="41.4">
      <c r="A29" s="8" t="s">
        <v>344</v>
      </c>
      <c r="B29" s="7" t="s">
        <v>72</v>
      </c>
      <c r="C29" s="8" t="s">
        <v>296</v>
      </c>
      <c r="D29" s="8" t="s">
        <v>345</v>
      </c>
      <c r="E29" s="7" t="s">
        <v>9</v>
      </c>
      <c r="F29" s="7" t="s">
        <v>36</v>
      </c>
      <c r="G29" s="7" t="s">
        <v>56</v>
      </c>
      <c r="H29" s="7" t="s">
        <v>321</v>
      </c>
      <c r="I29" s="7" t="s">
        <v>250</v>
      </c>
      <c r="J29" s="7" t="s">
        <v>251</v>
      </c>
      <c r="K29" s="7" t="s">
        <v>252</v>
      </c>
      <c r="L29" s="7" t="s">
        <v>266</v>
      </c>
      <c r="M29" s="8" t="s">
        <v>73</v>
      </c>
      <c r="N29" s="8" t="s">
        <v>14</v>
      </c>
      <c r="O29" s="8" t="s">
        <v>15</v>
      </c>
      <c r="P29" s="8" t="s">
        <v>59</v>
      </c>
      <c r="Q29" s="7" t="s">
        <v>341</v>
      </c>
      <c r="R29" s="7" t="s">
        <v>255</v>
      </c>
      <c r="S29" s="7" t="s">
        <v>256</v>
      </c>
      <c r="T29" s="7" t="s">
        <v>257</v>
      </c>
      <c r="U29" s="7"/>
      <c r="V29" s="7" t="s">
        <v>17</v>
      </c>
    </row>
    <row r="30" spans="1:22" ht="41.4">
      <c r="A30" s="8" t="s">
        <v>346</v>
      </c>
      <c r="B30" s="7" t="s">
        <v>74</v>
      </c>
      <c r="C30" s="8" t="s">
        <v>299</v>
      </c>
      <c r="D30" s="8" t="s">
        <v>347</v>
      </c>
      <c r="E30" s="7" t="s">
        <v>9</v>
      </c>
      <c r="F30" s="7" t="s">
        <v>36</v>
      </c>
      <c r="G30" s="7" t="s">
        <v>56</v>
      </c>
      <c r="H30" s="7" t="s">
        <v>321</v>
      </c>
      <c r="I30" s="7" t="s">
        <v>250</v>
      </c>
      <c r="J30" s="7" t="s">
        <v>251</v>
      </c>
      <c r="K30" s="7" t="s">
        <v>252</v>
      </c>
      <c r="L30" s="7" t="s">
        <v>253</v>
      </c>
      <c r="M30" s="8" t="s">
        <v>58</v>
      </c>
      <c r="N30" s="8" t="s">
        <v>14</v>
      </c>
      <c r="O30" s="8" t="s">
        <v>15</v>
      </c>
      <c r="P30" s="8" t="s">
        <v>59</v>
      </c>
      <c r="Q30" s="7" t="s">
        <v>348</v>
      </c>
      <c r="R30" s="7" t="s">
        <v>255</v>
      </c>
      <c r="S30" s="7" t="s">
        <v>256</v>
      </c>
      <c r="T30" s="7" t="s">
        <v>257</v>
      </c>
      <c r="U30" s="7"/>
      <c r="V30" s="7" t="s">
        <v>17</v>
      </c>
    </row>
    <row r="31" spans="1:22" ht="41.4">
      <c r="A31" s="8" t="s">
        <v>349</v>
      </c>
      <c r="B31" s="7" t="s">
        <v>75</v>
      </c>
      <c r="C31" s="8" t="s">
        <v>350</v>
      </c>
      <c r="D31" s="8" t="s">
        <v>351</v>
      </c>
      <c r="E31" s="7" t="s">
        <v>9</v>
      </c>
      <c r="F31" s="7" t="s">
        <v>36</v>
      </c>
      <c r="G31" s="7" t="s">
        <v>56</v>
      </c>
      <c r="H31" s="7" t="s">
        <v>321</v>
      </c>
      <c r="I31" s="7" t="s">
        <v>250</v>
      </c>
      <c r="J31" s="7" t="s">
        <v>261</v>
      </c>
      <c r="K31" s="7" t="s">
        <v>252</v>
      </c>
      <c r="L31" s="7" t="s">
        <v>262</v>
      </c>
      <c r="M31" s="8" t="s">
        <v>76</v>
      </c>
      <c r="N31" s="8" t="s">
        <v>14</v>
      </c>
      <c r="O31" s="8" t="s">
        <v>15</v>
      </c>
      <c r="P31" s="8" t="s">
        <v>59</v>
      </c>
      <c r="Q31" s="7" t="s">
        <v>348</v>
      </c>
      <c r="R31" s="7" t="s">
        <v>255</v>
      </c>
      <c r="S31" s="7" t="s">
        <v>256</v>
      </c>
      <c r="T31" s="7" t="s">
        <v>257</v>
      </c>
      <c r="U31" s="7"/>
      <c r="V31" s="7" t="s">
        <v>17</v>
      </c>
    </row>
    <row r="32" spans="1:22" ht="41.4">
      <c r="A32" s="8" t="s">
        <v>352</v>
      </c>
      <c r="B32" s="7" t="s">
        <v>77</v>
      </c>
      <c r="C32" s="8" t="s">
        <v>303</v>
      </c>
      <c r="D32" s="8" t="s">
        <v>353</v>
      </c>
      <c r="E32" s="7" t="s">
        <v>9</v>
      </c>
      <c r="F32" s="7" t="s">
        <v>36</v>
      </c>
      <c r="G32" s="7" t="s">
        <v>56</v>
      </c>
      <c r="H32" s="7" t="s">
        <v>321</v>
      </c>
      <c r="I32" s="7" t="s">
        <v>250</v>
      </c>
      <c r="J32" s="7" t="s">
        <v>251</v>
      </c>
      <c r="K32" s="7" t="s">
        <v>252</v>
      </c>
      <c r="L32" s="7" t="s">
        <v>266</v>
      </c>
      <c r="M32" s="8" t="s">
        <v>78</v>
      </c>
      <c r="N32" s="8" t="s">
        <v>14</v>
      </c>
      <c r="O32" s="8" t="s">
        <v>15</v>
      </c>
      <c r="P32" s="8" t="s">
        <v>59</v>
      </c>
      <c r="Q32" s="7" t="s">
        <v>348</v>
      </c>
      <c r="R32" s="7" t="s">
        <v>255</v>
      </c>
      <c r="S32" s="7" t="s">
        <v>256</v>
      </c>
      <c r="T32" s="7" t="s">
        <v>257</v>
      </c>
      <c r="U32" s="7" t="s">
        <v>305</v>
      </c>
      <c r="V32" s="7" t="s">
        <v>17</v>
      </c>
    </row>
    <row r="33" spans="1:22" ht="41.4">
      <c r="A33" s="8" t="s">
        <v>354</v>
      </c>
      <c r="B33" s="7" t="s">
        <v>79</v>
      </c>
      <c r="C33" s="8" t="s">
        <v>355</v>
      </c>
      <c r="D33" s="8" t="s">
        <v>356</v>
      </c>
      <c r="E33" s="7" t="s">
        <v>9</v>
      </c>
      <c r="F33" s="7" t="s">
        <v>36</v>
      </c>
      <c r="G33" s="7" t="s">
        <v>29</v>
      </c>
      <c r="H33" s="7" t="s">
        <v>280</v>
      </c>
      <c r="I33" s="7" t="s">
        <v>250</v>
      </c>
      <c r="J33" s="7" t="s">
        <v>251</v>
      </c>
      <c r="K33" s="7" t="s">
        <v>252</v>
      </c>
      <c r="L33" s="7" t="s">
        <v>253</v>
      </c>
      <c r="M33" s="8" t="s">
        <v>50</v>
      </c>
      <c r="N33" s="8" t="s">
        <v>14</v>
      </c>
      <c r="O33" s="8" t="s">
        <v>15</v>
      </c>
      <c r="P33" s="8" t="s">
        <v>31</v>
      </c>
      <c r="Q33" s="7" t="s">
        <v>357</v>
      </c>
      <c r="R33" s="7" t="s">
        <v>255</v>
      </c>
      <c r="S33" s="7" t="s">
        <v>256</v>
      </c>
      <c r="T33" s="7" t="s">
        <v>310</v>
      </c>
      <c r="U33" s="7" t="s">
        <v>311</v>
      </c>
      <c r="V33" s="7" t="s">
        <v>17</v>
      </c>
    </row>
    <row r="34" spans="1:22" ht="41.4">
      <c r="A34" s="8" t="s">
        <v>358</v>
      </c>
      <c r="B34" s="7" t="s">
        <v>80</v>
      </c>
      <c r="C34" s="8" t="s">
        <v>359</v>
      </c>
      <c r="D34" s="8" t="s">
        <v>360</v>
      </c>
      <c r="E34" s="7" t="s">
        <v>9</v>
      </c>
      <c r="F34" s="7" t="s">
        <v>36</v>
      </c>
      <c r="G34" s="7" t="s">
        <v>29</v>
      </c>
      <c r="H34" s="7" t="s">
        <v>280</v>
      </c>
      <c r="I34" s="7" t="s">
        <v>250</v>
      </c>
      <c r="J34" s="7" t="s">
        <v>261</v>
      </c>
      <c r="K34" s="7" t="s">
        <v>252</v>
      </c>
      <c r="L34" s="7" t="s">
        <v>262</v>
      </c>
      <c r="M34" s="8" t="s">
        <v>66</v>
      </c>
      <c r="N34" s="8" t="s">
        <v>14</v>
      </c>
      <c r="O34" s="8" t="s">
        <v>15</v>
      </c>
      <c r="P34" s="8" t="s">
        <v>31</v>
      </c>
      <c r="Q34" s="7" t="s">
        <v>357</v>
      </c>
      <c r="R34" s="7" t="s">
        <v>255</v>
      </c>
      <c r="S34" s="7" t="s">
        <v>256</v>
      </c>
      <c r="T34" s="7" t="s">
        <v>257</v>
      </c>
      <c r="U34" s="7"/>
      <c r="V34" s="7" t="s">
        <v>17</v>
      </c>
    </row>
    <row r="35" spans="1:22" ht="41.4">
      <c r="A35" s="8" t="s">
        <v>361</v>
      </c>
      <c r="B35" s="7" t="s">
        <v>81</v>
      </c>
      <c r="C35" s="8" t="s">
        <v>362</v>
      </c>
      <c r="D35" s="8" t="s">
        <v>363</v>
      </c>
      <c r="E35" s="7" t="s">
        <v>9</v>
      </c>
      <c r="F35" s="7" t="s">
        <v>36</v>
      </c>
      <c r="G35" s="7" t="s">
        <v>29</v>
      </c>
      <c r="H35" s="7" t="s">
        <v>280</v>
      </c>
      <c r="I35" s="7" t="s">
        <v>250</v>
      </c>
      <c r="J35" s="7" t="s">
        <v>251</v>
      </c>
      <c r="K35" s="7" t="s">
        <v>252</v>
      </c>
      <c r="L35" s="7" t="s">
        <v>266</v>
      </c>
      <c r="M35" s="8" t="s">
        <v>82</v>
      </c>
      <c r="N35" s="8" t="s">
        <v>14</v>
      </c>
      <c r="O35" s="8" t="s">
        <v>15</v>
      </c>
      <c r="P35" s="8" t="s">
        <v>31</v>
      </c>
      <c r="Q35" s="7" t="s">
        <v>357</v>
      </c>
      <c r="R35" s="7" t="s">
        <v>255</v>
      </c>
      <c r="S35" s="7" t="s">
        <v>256</v>
      </c>
      <c r="T35" s="7" t="s">
        <v>257</v>
      </c>
      <c r="U35" s="7"/>
      <c r="V35" s="7" t="s">
        <v>17</v>
      </c>
    </row>
    <row r="36" spans="1:22" ht="41.4">
      <c r="A36" s="8" t="s">
        <v>364</v>
      </c>
      <c r="B36" s="7" t="s">
        <v>83</v>
      </c>
      <c r="C36" s="8" t="s">
        <v>365</v>
      </c>
      <c r="D36" s="8" t="s">
        <v>366</v>
      </c>
      <c r="E36" s="7" t="s">
        <v>9</v>
      </c>
      <c r="F36" s="7" t="s">
        <v>36</v>
      </c>
      <c r="G36" s="7" t="s">
        <v>29</v>
      </c>
      <c r="H36" s="7" t="s">
        <v>280</v>
      </c>
      <c r="I36" s="7" t="s">
        <v>250</v>
      </c>
      <c r="J36" s="7" t="s">
        <v>251</v>
      </c>
      <c r="K36" s="7" t="s">
        <v>252</v>
      </c>
      <c r="L36" s="7" t="s">
        <v>253</v>
      </c>
      <c r="M36" s="8" t="s">
        <v>50</v>
      </c>
      <c r="N36" s="8" t="s">
        <v>14</v>
      </c>
      <c r="O36" s="8" t="s">
        <v>15</v>
      </c>
      <c r="P36" s="8" t="s">
        <v>31</v>
      </c>
      <c r="Q36" s="7" t="s">
        <v>367</v>
      </c>
      <c r="R36" s="7" t="s">
        <v>255</v>
      </c>
      <c r="S36" s="7" t="s">
        <v>256</v>
      </c>
      <c r="T36" s="7" t="s">
        <v>310</v>
      </c>
      <c r="U36" s="7" t="s">
        <v>311</v>
      </c>
      <c r="V36" s="7" t="s">
        <v>17</v>
      </c>
    </row>
    <row r="37" spans="1:22" ht="41.4">
      <c r="A37" s="8" t="s">
        <v>368</v>
      </c>
      <c r="B37" s="7" t="s">
        <v>84</v>
      </c>
      <c r="C37" s="8" t="s">
        <v>369</v>
      </c>
      <c r="D37" s="8" t="s">
        <v>370</v>
      </c>
      <c r="E37" s="7" t="s">
        <v>9</v>
      </c>
      <c r="F37" s="7" t="s">
        <v>36</v>
      </c>
      <c r="G37" s="7" t="s">
        <v>29</v>
      </c>
      <c r="H37" s="7" t="s">
        <v>280</v>
      </c>
      <c r="I37" s="7" t="s">
        <v>250</v>
      </c>
      <c r="J37" s="7" t="s">
        <v>261</v>
      </c>
      <c r="K37" s="7" t="s">
        <v>252</v>
      </c>
      <c r="L37" s="7" t="s">
        <v>262</v>
      </c>
      <c r="M37" s="8" t="s">
        <v>85</v>
      </c>
      <c r="N37" s="8" t="s">
        <v>14</v>
      </c>
      <c r="O37" s="8" t="s">
        <v>15</v>
      </c>
      <c r="P37" s="8" t="s">
        <v>31</v>
      </c>
      <c r="Q37" s="7" t="s">
        <v>367</v>
      </c>
      <c r="R37" s="7" t="s">
        <v>255</v>
      </c>
      <c r="S37" s="7" t="s">
        <v>256</v>
      </c>
      <c r="T37" s="7" t="s">
        <v>257</v>
      </c>
      <c r="U37" s="7"/>
      <c r="V37" s="7" t="s">
        <v>17</v>
      </c>
    </row>
    <row r="38" spans="1:22" ht="41.4">
      <c r="A38" s="8" t="s">
        <v>371</v>
      </c>
      <c r="B38" s="7" t="s">
        <v>86</v>
      </c>
      <c r="C38" s="8" t="s">
        <v>372</v>
      </c>
      <c r="D38" s="8" t="s">
        <v>373</v>
      </c>
      <c r="E38" s="7" t="s">
        <v>9</v>
      </c>
      <c r="F38" s="7" t="s">
        <v>36</v>
      </c>
      <c r="G38" s="7" t="s">
        <v>29</v>
      </c>
      <c r="H38" s="7" t="s">
        <v>280</v>
      </c>
      <c r="I38" s="7" t="s">
        <v>250</v>
      </c>
      <c r="J38" s="7" t="s">
        <v>251</v>
      </c>
      <c r="K38" s="7" t="s">
        <v>252</v>
      </c>
      <c r="L38" s="7" t="s">
        <v>266</v>
      </c>
      <c r="M38" s="8" t="s">
        <v>87</v>
      </c>
      <c r="N38" s="8" t="s">
        <v>14</v>
      </c>
      <c r="O38" s="8" t="s">
        <v>15</v>
      </c>
      <c r="P38" s="8" t="s">
        <v>31</v>
      </c>
      <c r="Q38" s="7" t="s">
        <v>367</v>
      </c>
      <c r="R38" s="7" t="s">
        <v>255</v>
      </c>
      <c r="S38" s="7" t="s">
        <v>256</v>
      </c>
      <c r="T38" s="7" t="s">
        <v>257</v>
      </c>
      <c r="U38" s="7"/>
      <c r="V38" s="7" t="s">
        <v>17</v>
      </c>
    </row>
    <row r="39" spans="1:22" ht="41.4">
      <c r="A39" s="8" t="s">
        <v>374</v>
      </c>
      <c r="B39" s="7" t="s">
        <v>90</v>
      </c>
      <c r="C39" s="8" t="s">
        <v>375</v>
      </c>
      <c r="D39" s="8" t="s">
        <v>376</v>
      </c>
      <c r="E39" s="7" t="s">
        <v>9</v>
      </c>
      <c r="F39" s="7" t="s">
        <v>88</v>
      </c>
      <c r="G39" s="7" t="s">
        <v>89</v>
      </c>
      <c r="H39" s="7" t="s">
        <v>377</v>
      </c>
      <c r="I39" s="7" t="s">
        <v>378</v>
      </c>
      <c r="J39" s="7" t="s">
        <v>379</v>
      </c>
      <c r="K39" s="7" t="s">
        <v>252</v>
      </c>
      <c r="L39" s="7" t="s">
        <v>380</v>
      </c>
      <c r="M39" s="8" t="s">
        <v>91</v>
      </c>
      <c r="N39" s="8" t="s">
        <v>92</v>
      </c>
      <c r="O39" s="8" t="s">
        <v>93</v>
      </c>
      <c r="P39" s="8" t="s">
        <v>94</v>
      </c>
      <c r="Q39" s="7" t="s">
        <v>381</v>
      </c>
      <c r="R39" s="7" t="s">
        <v>255</v>
      </c>
      <c r="S39" s="7" t="s">
        <v>256</v>
      </c>
      <c r="T39" s="7" t="s">
        <v>382</v>
      </c>
      <c r="U39" s="7" t="s">
        <v>383</v>
      </c>
      <c r="V39" s="7" t="s">
        <v>95</v>
      </c>
    </row>
    <row r="40" spans="1:22" ht="41.4">
      <c r="A40" s="8" t="s">
        <v>384</v>
      </c>
      <c r="B40" s="7" t="s">
        <v>98</v>
      </c>
      <c r="C40" s="8" t="s">
        <v>385</v>
      </c>
      <c r="D40" s="8" t="s">
        <v>386</v>
      </c>
      <c r="E40" s="7" t="s">
        <v>9</v>
      </c>
      <c r="F40" s="7" t="s">
        <v>96</v>
      </c>
      <c r="G40" s="7" t="s">
        <v>97</v>
      </c>
      <c r="H40" s="7" t="s">
        <v>249</v>
      </c>
      <c r="I40" s="7" t="s">
        <v>250</v>
      </c>
      <c r="J40" s="7" t="s">
        <v>251</v>
      </c>
      <c r="K40" s="7" t="s">
        <v>252</v>
      </c>
      <c r="L40" s="7" t="s">
        <v>253</v>
      </c>
      <c r="M40" s="8" t="s">
        <v>58</v>
      </c>
      <c r="N40" s="8" t="s">
        <v>14</v>
      </c>
      <c r="O40" s="8" t="s">
        <v>15</v>
      </c>
      <c r="P40" s="8" t="s">
        <v>99</v>
      </c>
      <c r="Q40" s="7" t="s">
        <v>387</v>
      </c>
      <c r="R40" s="7" t="s">
        <v>255</v>
      </c>
      <c r="S40" s="7" t="s">
        <v>256</v>
      </c>
      <c r="T40" s="7" t="s">
        <v>257</v>
      </c>
      <c r="U40" s="7"/>
      <c r="V40" s="7" t="s">
        <v>17</v>
      </c>
    </row>
    <row r="41" spans="1:22" ht="41.4">
      <c r="A41" s="8" t="s">
        <v>388</v>
      </c>
      <c r="B41" s="7" t="s">
        <v>100</v>
      </c>
      <c r="C41" s="8" t="s">
        <v>389</v>
      </c>
      <c r="D41" s="8" t="s">
        <v>390</v>
      </c>
      <c r="E41" s="7" t="s">
        <v>9</v>
      </c>
      <c r="F41" s="7" t="s">
        <v>96</v>
      </c>
      <c r="G41" s="7" t="s">
        <v>97</v>
      </c>
      <c r="H41" s="7" t="s">
        <v>249</v>
      </c>
      <c r="I41" s="7" t="s">
        <v>250</v>
      </c>
      <c r="J41" s="7" t="s">
        <v>261</v>
      </c>
      <c r="K41" s="7" t="s">
        <v>252</v>
      </c>
      <c r="L41" s="7" t="s">
        <v>262</v>
      </c>
      <c r="M41" s="8" t="s">
        <v>33</v>
      </c>
      <c r="N41" s="8" t="s">
        <v>14</v>
      </c>
      <c r="O41" s="8" t="s">
        <v>15</v>
      </c>
      <c r="P41" s="8" t="s">
        <v>99</v>
      </c>
      <c r="Q41" s="7" t="s">
        <v>387</v>
      </c>
      <c r="R41" s="7" t="s">
        <v>255</v>
      </c>
      <c r="S41" s="7" t="s">
        <v>256</v>
      </c>
      <c r="T41" s="7" t="s">
        <v>257</v>
      </c>
      <c r="U41" s="7"/>
      <c r="V41" s="7" t="s">
        <v>17</v>
      </c>
    </row>
    <row r="42" spans="1:22" ht="41.4">
      <c r="A42" s="8" t="s">
        <v>391</v>
      </c>
      <c r="B42" s="7" t="s">
        <v>101</v>
      </c>
      <c r="C42" s="8" t="s">
        <v>392</v>
      </c>
      <c r="D42" s="8" t="s">
        <v>393</v>
      </c>
      <c r="E42" s="7" t="s">
        <v>9</v>
      </c>
      <c r="F42" s="7" t="s">
        <v>96</v>
      </c>
      <c r="G42" s="7" t="s">
        <v>97</v>
      </c>
      <c r="H42" s="7" t="s">
        <v>249</v>
      </c>
      <c r="I42" s="7" t="s">
        <v>250</v>
      </c>
      <c r="J42" s="7" t="s">
        <v>251</v>
      </c>
      <c r="K42" s="7" t="s">
        <v>252</v>
      </c>
      <c r="L42" s="7" t="s">
        <v>266</v>
      </c>
      <c r="M42" s="8" t="s">
        <v>102</v>
      </c>
      <c r="N42" s="8" t="s">
        <v>14</v>
      </c>
      <c r="O42" s="8" t="s">
        <v>15</v>
      </c>
      <c r="P42" s="8" t="s">
        <v>99</v>
      </c>
      <c r="Q42" s="7" t="s">
        <v>387</v>
      </c>
      <c r="R42" s="7" t="s">
        <v>255</v>
      </c>
      <c r="S42" s="7" t="s">
        <v>256</v>
      </c>
      <c r="T42" s="7" t="s">
        <v>257</v>
      </c>
      <c r="U42" s="7"/>
      <c r="V42" s="7" t="s">
        <v>17</v>
      </c>
    </row>
    <row r="43" spans="1:22" ht="27.6">
      <c r="A43" s="8" t="s">
        <v>394</v>
      </c>
      <c r="B43" s="7" t="s">
        <v>103</v>
      </c>
      <c r="C43" s="8" t="s">
        <v>395</v>
      </c>
      <c r="D43" s="8" t="s">
        <v>396</v>
      </c>
      <c r="E43" s="7" t="s">
        <v>9</v>
      </c>
      <c r="F43" s="7" t="s">
        <v>96</v>
      </c>
      <c r="G43" s="7" t="s">
        <v>97</v>
      </c>
      <c r="H43" s="7" t="s">
        <v>377</v>
      </c>
      <c r="I43" s="7" t="s">
        <v>378</v>
      </c>
      <c r="J43" s="7" t="s">
        <v>379</v>
      </c>
      <c r="K43" s="7" t="s">
        <v>252</v>
      </c>
      <c r="L43" s="7" t="s">
        <v>397</v>
      </c>
      <c r="M43" s="8" t="s">
        <v>104</v>
      </c>
      <c r="N43" s="8" t="s">
        <v>92</v>
      </c>
      <c r="O43" s="8" t="s">
        <v>93</v>
      </c>
      <c r="P43" s="8" t="s">
        <v>94</v>
      </c>
      <c r="Q43" s="7" t="s">
        <v>398</v>
      </c>
      <c r="R43" s="7" t="s">
        <v>255</v>
      </c>
      <c r="S43" s="7" t="s">
        <v>256</v>
      </c>
      <c r="T43" s="7" t="s">
        <v>257</v>
      </c>
      <c r="U43" s="7"/>
      <c r="V43" s="7" t="s">
        <v>95</v>
      </c>
    </row>
    <row r="44" spans="1:22" ht="41.4">
      <c r="A44" s="8" t="s">
        <v>399</v>
      </c>
      <c r="B44" s="7" t="s">
        <v>106</v>
      </c>
      <c r="C44" s="8" t="s">
        <v>400</v>
      </c>
      <c r="D44" s="8" t="s">
        <v>401</v>
      </c>
      <c r="E44" s="7" t="s">
        <v>9</v>
      </c>
      <c r="F44" s="7" t="s">
        <v>96</v>
      </c>
      <c r="G44" s="7" t="s">
        <v>105</v>
      </c>
      <c r="H44" s="7" t="s">
        <v>249</v>
      </c>
      <c r="I44" s="7" t="s">
        <v>250</v>
      </c>
      <c r="J44" s="7" t="s">
        <v>251</v>
      </c>
      <c r="K44" s="7" t="s">
        <v>252</v>
      </c>
      <c r="L44" s="7" t="s">
        <v>253</v>
      </c>
      <c r="M44" s="8" t="s">
        <v>58</v>
      </c>
      <c r="N44" s="8" t="s">
        <v>14</v>
      </c>
      <c r="O44" s="8" t="s">
        <v>15</v>
      </c>
      <c r="P44" s="8" t="s">
        <v>107</v>
      </c>
      <c r="Q44" s="7" t="s">
        <v>402</v>
      </c>
      <c r="R44" s="7" t="s">
        <v>255</v>
      </c>
      <c r="S44" s="7" t="s">
        <v>256</v>
      </c>
      <c r="T44" s="7" t="s">
        <v>257</v>
      </c>
      <c r="U44" s="7"/>
      <c r="V44" s="7" t="s">
        <v>17</v>
      </c>
    </row>
    <row r="45" spans="1:22" ht="41.4">
      <c r="A45" s="8" t="s">
        <v>403</v>
      </c>
      <c r="B45" s="7" t="s">
        <v>108</v>
      </c>
      <c r="C45" s="8" t="s">
        <v>404</v>
      </c>
      <c r="D45" s="8" t="s">
        <v>405</v>
      </c>
      <c r="E45" s="7" t="s">
        <v>9</v>
      </c>
      <c r="F45" s="7" t="s">
        <v>96</v>
      </c>
      <c r="G45" s="7" t="s">
        <v>105</v>
      </c>
      <c r="H45" s="7" t="s">
        <v>249</v>
      </c>
      <c r="I45" s="7" t="s">
        <v>250</v>
      </c>
      <c r="J45" s="7" t="s">
        <v>261</v>
      </c>
      <c r="K45" s="7" t="s">
        <v>252</v>
      </c>
      <c r="L45" s="7" t="s">
        <v>262</v>
      </c>
      <c r="M45" s="8" t="s">
        <v>109</v>
      </c>
      <c r="N45" s="8" t="s">
        <v>14</v>
      </c>
      <c r="O45" s="8" t="s">
        <v>15</v>
      </c>
      <c r="P45" s="8" t="s">
        <v>107</v>
      </c>
      <c r="Q45" s="7" t="s">
        <v>402</v>
      </c>
      <c r="R45" s="7" t="s">
        <v>255</v>
      </c>
      <c r="S45" s="7" t="s">
        <v>256</v>
      </c>
      <c r="T45" s="7" t="s">
        <v>257</v>
      </c>
      <c r="U45" s="7"/>
      <c r="V45" s="7" t="s">
        <v>17</v>
      </c>
    </row>
    <row r="46" spans="1:22" ht="41.4">
      <c r="A46" s="8" t="s">
        <v>406</v>
      </c>
      <c r="B46" s="7" t="s">
        <v>110</v>
      </c>
      <c r="C46" s="8" t="s">
        <v>407</v>
      </c>
      <c r="D46" s="8" t="s">
        <v>408</v>
      </c>
      <c r="E46" s="7" t="s">
        <v>9</v>
      </c>
      <c r="F46" s="7" t="s">
        <v>96</v>
      </c>
      <c r="G46" s="7" t="s">
        <v>105</v>
      </c>
      <c r="H46" s="7" t="s">
        <v>249</v>
      </c>
      <c r="I46" s="7" t="s">
        <v>250</v>
      </c>
      <c r="J46" s="7" t="s">
        <v>251</v>
      </c>
      <c r="K46" s="7" t="s">
        <v>252</v>
      </c>
      <c r="L46" s="7" t="s">
        <v>266</v>
      </c>
      <c r="M46" s="8" t="s">
        <v>111</v>
      </c>
      <c r="N46" s="8" t="s">
        <v>14</v>
      </c>
      <c r="O46" s="8" t="s">
        <v>15</v>
      </c>
      <c r="P46" s="8" t="s">
        <v>107</v>
      </c>
      <c r="Q46" s="7" t="s">
        <v>402</v>
      </c>
      <c r="R46" s="7" t="s">
        <v>255</v>
      </c>
      <c r="S46" s="7" t="s">
        <v>256</v>
      </c>
      <c r="T46" s="7" t="s">
        <v>257</v>
      </c>
      <c r="U46" s="7"/>
      <c r="V46" s="7" t="s">
        <v>17</v>
      </c>
    </row>
    <row r="47" spans="1:22" ht="27.6">
      <c r="A47" s="8" t="s">
        <v>409</v>
      </c>
      <c r="B47" s="7" t="s">
        <v>115</v>
      </c>
      <c r="C47" s="8" t="s">
        <v>410</v>
      </c>
      <c r="D47" s="8" t="s">
        <v>411</v>
      </c>
      <c r="E47" s="7" t="s">
        <v>112</v>
      </c>
      <c r="F47" s="7" t="s">
        <v>113</v>
      </c>
      <c r="G47" s="7" t="s">
        <v>114</v>
      </c>
      <c r="H47" s="7" t="s">
        <v>412</v>
      </c>
      <c r="I47" s="7" t="s">
        <v>378</v>
      </c>
      <c r="J47" s="7" t="s">
        <v>413</v>
      </c>
      <c r="K47" s="7" t="s">
        <v>252</v>
      </c>
      <c r="L47" s="7" t="s">
        <v>414</v>
      </c>
      <c r="M47" s="8" t="s">
        <v>116</v>
      </c>
      <c r="N47" s="8" t="s">
        <v>117</v>
      </c>
      <c r="O47" s="8" t="s">
        <v>118</v>
      </c>
      <c r="P47" s="8" t="s">
        <v>119</v>
      </c>
      <c r="Q47" s="7" t="s">
        <v>415</v>
      </c>
      <c r="R47" s="7" t="s">
        <v>416</v>
      </c>
      <c r="S47" s="7" t="s">
        <v>417</v>
      </c>
      <c r="T47" s="7" t="s">
        <v>257</v>
      </c>
      <c r="U47" s="7"/>
      <c r="V47" s="7" t="s">
        <v>120</v>
      </c>
    </row>
    <row r="48" spans="1:22" ht="27.6">
      <c r="A48" s="8" t="s">
        <v>418</v>
      </c>
      <c r="B48" s="7" t="s">
        <v>121</v>
      </c>
      <c r="C48" s="8" t="s">
        <v>419</v>
      </c>
      <c r="D48" s="8" t="s">
        <v>420</v>
      </c>
      <c r="E48" s="7" t="s">
        <v>112</v>
      </c>
      <c r="F48" s="7" t="s">
        <v>113</v>
      </c>
      <c r="G48" s="7" t="s">
        <v>114</v>
      </c>
      <c r="H48" s="7" t="s">
        <v>412</v>
      </c>
      <c r="I48" s="7" t="s">
        <v>378</v>
      </c>
      <c r="J48" s="7" t="s">
        <v>421</v>
      </c>
      <c r="K48" s="7" t="s">
        <v>252</v>
      </c>
      <c r="L48" s="7" t="s">
        <v>422</v>
      </c>
      <c r="M48" s="8" t="s">
        <v>122</v>
      </c>
      <c r="N48" s="8" t="s">
        <v>117</v>
      </c>
      <c r="O48" s="8" t="s">
        <v>123</v>
      </c>
      <c r="P48" s="8" t="s">
        <v>119</v>
      </c>
      <c r="Q48" s="7" t="s">
        <v>415</v>
      </c>
      <c r="R48" s="7" t="s">
        <v>416</v>
      </c>
      <c r="S48" s="7" t="s">
        <v>417</v>
      </c>
      <c r="T48" s="7" t="s">
        <v>257</v>
      </c>
      <c r="U48" s="7"/>
      <c r="V48" s="7" t="s">
        <v>124</v>
      </c>
    </row>
    <row r="49" spans="1:22" ht="27.6">
      <c r="A49" s="8" t="s">
        <v>423</v>
      </c>
      <c r="B49" s="7" t="s">
        <v>125</v>
      </c>
      <c r="C49" s="8" t="s">
        <v>424</v>
      </c>
      <c r="D49" s="8" t="s">
        <v>425</v>
      </c>
      <c r="E49" s="7" t="s">
        <v>112</v>
      </c>
      <c r="F49" s="7" t="s">
        <v>113</v>
      </c>
      <c r="G49" s="7" t="s">
        <v>114</v>
      </c>
      <c r="H49" s="7" t="s">
        <v>412</v>
      </c>
      <c r="I49" s="7" t="s">
        <v>378</v>
      </c>
      <c r="J49" s="7" t="s">
        <v>426</v>
      </c>
      <c r="K49" s="7" t="s">
        <v>252</v>
      </c>
      <c r="L49" s="7" t="s">
        <v>427</v>
      </c>
      <c r="M49" s="8" t="s">
        <v>126</v>
      </c>
      <c r="N49" s="8" t="s">
        <v>117</v>
      </c>
      <c r="O49" s="8" t="s">
        <v>118</v>
      </c>
      <c r="P49" s="8" t="s">
        <v>119</v>
      </c>
      <c r="Q49" s="7" t="s">
        <v>415</v>
      </c>
      <c r="R49" s="7" t="s">
        <v>416</v>
      </c>
      <c r="S49" s="7" t="s">
        <v>417</v>
      </c>
      <c r="T49" s="7" t="s">
        <v>257</v>
      </c>
      <c r="U49" s="7"/>
      <c r="V49" s="7" t="s">
        <v>127</v>
      </c>
    </row>
    <row r="50" spans="1:22" ht="41.4">
      <c r="A50" s="8" t="s">
        <v>428</v>
      </c>
      <c r="B50" s="7" t="s">
        <v>129</v>
      </c>
      <c r="C50" s="8" t="s">
        <v>429</v>
      </c>
      <c r="D50" s="8" t="s">
        <v>430</v>
      </c>
      <c r="E50" s="7" t="s">
        <v>112</v>
      </c>
      <c r="F50" s="7" t="s">
        <v>113</v>
      </c>
      <c r="G50" s="7" t="s">
        <v>128</v>
      </c>
      <c r="H50" s="7" t="s">
        <v>431</v>
      </c>
      <c r="I50" s="7" t="s">
        <v>378</v>
      </c>
      <c r="J50" s="7" t="s">
        <v>426</v>
      </c>
      <c r="K50" s="7" t="s">
        <v>252</v>
      </c>
      <c r="L50" s="7" t="s">
        <v>432</v>
      </c>
      <c r="M50" s="8" t="s">
        <v>130</v>
      </c>
      <c r="N50" s="8" t="s">
        <v>131</v>
      </c>
      <c r="O50" s="8" t="s">
        <v>132</v>
      </c>
      <c r="P50" s="8" t="s">
        <v>133</v>
      </c>
      <c r="Q50" s="7" t="s">
        <v>433</v>
      </c>
      <c r="R50" s="7" t="s">
        <v>434</v>
      </c>
      <c r="S50" s="7" t="s">
        <v>435</v>
      </c>
      <c r="T50" s="7" t="s">
        <v>436</v>
      </c>
      <c r="U50" s="7" t="s">
        <v>437</v>
      </c>
      <c r="V50" s="7" t="s">
        <v>134</v>
      </c>
    </row>
    <row r="51" spans="1:22" ht="41.4">
      <c r="A51" s="8" t="s">
        <v>438</v>
      </c>
      <c r="B51" s="7" t="s">
        <v>135</v>
      </c>
      <c r="C51" s="8" t="s">
        <v>439</v>
      </c>
      <c r="D51" s="8" t="s">
        <v>440</v>
      </c>
      <c r="E51" s="7" t="s">
        <v>112</v>
      </c>
      <c r="F51" s="7" t="s">
        <v>113</v>
      </c>
      <c r="G51" s="7" t="s">
        <v>128</v>
      </c>
      <c r="H51" s="7" t="s">
        <v>441</v>
      </c>
      <c r="I51" s="7" t="s">
        <v>378</v>
      </c>
      <c r="J51" s="7" t="s">
        <v>426</v>
      </c>
      <c r="K51" s="7" t="s">
        <v>252</v>
      </c>
      <c r="L51" s="7" t="s">
        <v>442</v>
      </c>
      <c r="M51" s="8" t="s">
        <v>136</v>
      </c>
      <c r="N51" s="8" t="s">
        <v>131</v>
      </c>
      <c r="O51" s="8" t="s">
        <v>132</v>
      </c>
      <c r="P51" s="8" t="s">
        <v>137</v>
      </c>
      <c r="Q51" s="7" t="s">
        <v>443</v>
      </c>
      <c r="R51" s="7" t="s">
        <v>416</v>
      </c>
      <c r="S51" s="7" t="s">
        <v>435</v>
      </c>
      <c r="T51" s="7" t="s">
        <v>436</v>
      </c>
      <c r="U51" s="7" t="s">
        <v>444</v>
      </c>
      <c r="V51" s="7" t="s">
        <v>134</v>
      </c>
    </row>
    <row r="52" spans="1:22" ht="41.4">
      <c r="A52" s="8" t="s">
        <v>445</v>
      </c>
      <c r="B52" s="7" t="s">
        <v>138</v>
      </c>
      <c r="C52" s="8" t="s">
        <v>446</v>
      </c>
      <c r="D52" s="8" t="s">
        <v>447</v>
      </c>
      <c r="E52" s="7" t="s">
        <v>112</v>
      </c>
      <c r="F52" s="7" t="s">
        <v>113</v>
      </c>
      <c r="G52" s="7" t="s">
        <v>128</v>
      </c>
      <c r="H52" s="7" t="s">
        <v>441</v>
      </c>
      <c r="I52" s="7" t="s">
        <v>378</v>
      </c>
      <c r="J52" s="7" t="s">
        <v>413</v>
      </c>
      <c r="K52" s="7" t="s">
        <v>252</v>
      </c>
      <c r="L52" s="7" t="s">
        <v>414</v>
      </c>
      <c r="M52" s="8" t="s">
        <v>139</v>
      </c>
      <c r="N52" s="8" t="s">
        <v>131</v>
      </c>
      <c r="O52" s="8" t="s">
        <v>132</v>
      </c>
      <c r="P52" s="8" t="s">
        <v>137</v>
      </c>
      <c r="Q52" s="7" t="s">
        <v>443</v>
      </c>
      <c r="R52" s="7" t="s">
        <v>416</v>
      </c>
      <c r="S52" s="7" t="s">
        <v>435</v>
      </c>
      <c r="T52" s="7" t="s">
        <v>436</v>
      </c>
      <c r="U52" s="7" t="s">
        <v>444</v>
      </c>
      <c r="V52" s="7" t="s">
        <v>134</v>
      </c>
    </row>
    <row r="53" spans="1:22" ht="41.4">
      <c r="A53" s="8" t="s">
        <v>448</v>
      </c>
      <c r="B53" s="7" t="s">
        <v>140</v>
      </c>
      <c r="C53" s="8" t="s">
        <v>449</v>
      </c>
      <c r="D53" s="8" t="s">
        <v>450</v>
      </c>
      <c r="E53" s="7" t="s">
        <v>112</v>
      </c>
      <c r="F53" s="7" t="s">
        <v>113</v>
      </c>
      <c r="G53" s="7" t="s">
        <v>128</v>
      </c>
      <c r="H53" s="7" t="s">
        <v>441</v>
      </c>
      <c r="I53" s="7" t="s">
        <v>378</v>
      </c>
      <c r="J53" s="7" t="s">
        <v>421</v>
      </c>
      <c r="K53" s="7" t="s">
        <v>252</v>
      </c>
      <c r="L53" s="7" t="s">
        <v>422</v>
      </c>
      <c r="M53" s="8" t="s">
        <v>141</v>
      </c>
      <c r="N53" s="8" t="s">
        <v>131</v>
      </c>
      <c r="O53" s="8" t="s">
        <v>132</v>
      </c>
      <c r="P53" s="8" t="s">
        <v>137</v>
      </c>
      <c r="Q53" s="7" t="s">
        <v>415</v>
      </c>
      <c r="R53" s="7" t="s">
        <v>416</v>
      </c>
      <c r="S53" s="7" t="s">
        <v>417</v>
      </c>
      <c r="T53" s="7" t="s">
        <v>436</v>
      </c>
      <c r="U53" s="7" t="s">
        <v>444</v>
      </c>
      <c r="V53" s="7" t="s">
        <v>134</v>
      </c>
    </row>
    <row r="54" spans="1:22" ht="27.6">
      <c r="A54" s="8" t="s">
        <v>451</v>
      </c>
      <c r="B54" s="7" t="s">
        <v>144</v>
      </c>
      <c r="C54" s="8" t="s">
        <v>452</v>
      </c>
      <c r="D54" s="8" t="s">
        <v>453</v>
      </c>
      <c r="E54" s="7" t="s">
        <v>112</v>
      </c>
      <c r="F54" s="7" t="s">
        <v>142</v>
      </c>
      <c r="G54" s="7" t="s">
        <v>143</v>
      </c>
      <c r="H54" s="7" t="s">
        <v>454</v>
      </c>
      <c r="I54" s="7" t="s">
        <v>378</v>
      </c>
      <c r="J54" s="7" t="s">
        <v>426</v>
      </c>
      <c r="K54" s="7" t="s">
        <v>455</v>
      </c>
      <c r="L54" s="7" t="s">
        <v>456</v>
      </c>
      <c r="M54" s="8" t="s">
        <v>145</v>
      </c>
      <c r="N54" s="8" t="s">
        <v>117</v>
      </c>
      <c r="O54" s="8" t="s">
        <v>146</v>
      </c>
      <c r="P54" s="8" t="s">
        <v>147</v>
      </c>
      <c r="Q54" s="7" t="s">
        <v>457</v>
      </c>
      <c r="R54" s="7" t="s">
        <v>458</v>
      </c>
      <c r="S54" s="7" t="s">
        <v>256</v>
      </c>
      <c r="T54" s="7" t="s">
        <v>257</v>
      </c>
      <c r="U54" s="7"/>
      <c r="V54" s="7" t="s">
        <v>148</v>
      </c>
    </row>
    <row r="55" spans="1:22" ht="27.6">
      <c r="A55" s="8" t="s">
        <v>459</v>
      </c>
      <c r="B55" s="7" t="s">
        <v>149</v>
      </c>
      <c r="C55" s="8" t="s">
        <v>460</v>
      </c>
      <c r="D55" s="8" t="s">
        <v>461</v>
      </c>
      <c r="E55" s="7" t="s">
        <v>112</v>
      </c>
      <c r="F55" s="7" t="s">
        <v>142</v>
      </c>
      <c r="G55" s="7" t="s">
        <v>143</v>
      </c>
      <c r="H55" s="7" t="s">
        <v>454</v>
      </c>
      <c r="I55" s="7" t="s">
        <v>378</v>
      </c>
      <c r="J55" s="7" t="s">
        <v>426</v>
      </c>
      <c r="K55" s="7" t="s">
        <v>455</v>
      </c>
      <c r="L55" s="7" t="s">
        <v>462</v>
      </c>
      <c r="M55" s="8" t="s">
        <v>150</v>
      </c>
      <c r="N55" s="8" t="s">
        <v>131</v>
      </c>
      <c r="O55" s="8" t="s">
        <v>132</v>
      </c>
      <c r="P55" s="8" t="s">
        <v>151</v>
      </c>
      <c r="Q55" s="7" t="s">
        <v>463</v>
      </c>
      <c r="R55" s="7" t="s">
        <v>458</v>
      </c>
      <c r="S55" s="7" t="s">
        <v>256</v>
      </c>
      <c r="T55" s="7" t="s">
        <v>257</v>
      </c>
      <c r="U55" s="7"/>
      <c r="V55" s="7" t="s">
        <v>152</v>
      </c>
    </row>
    <row r="56" spans="1:22" ht="27.6">
      <c r="A56" s="8" t="s">
        <v>464</v>
      </c>
      <c r="B56" s="7" t="s">
        <v>153</v>
      </c>
      <c r="C56" s="8" t="s">
        <v>465</v>
      </c>
      <c r="D56" s="8" t="s">
        <v>466</v>
      </c>
      <c r="E56" s="7" t="s">
        <v>112</v>
      </c>
      <c r="F56" s="7" t="s">
        <v>142</v>
      </c>
      <c r="G56" s="7" t="s">
        <v>143</v>
      </c>
      <c r="H56" s="7" t="s">
        <v>454</v>
      </c>
      <c r="I56" s="7" t="s">
        <v>378</v>
      </c>
      <c r="J56" s="7" t="s">
        <v>426</v>
      </c>
      <c r="K56" s="7" t="s">
        <v>455</v>
      </c>
      <c r="L56" s="7" t="s">
        <v>456</v>
      </c>
      <c r="M56" s="8" t="s">
        <v>154</v>
      </c>
      <c r="N56" s="8" t="s">
        <v>155</v>
      </c>
      <c r="O56" s="8" t="s">
        <v>156</v>
      </c>
      <c r="P56" s="8" t="s">
        <v>157</v>
      </c>
      <c r="Q56" s="7" t="s">
        <v>467</v>
      </c>
      <c r="R56" s="7" t="s">
        <v>458</v>
      </c>
      <c r="S56" s="7" t="s">
        <v>468</v>
      </c>
      <c r="T56" s="7" t="s">
        <v>257</v>
      </c>
      <c r="U56" s="7"/>
      <c r="V56" s="7" t="s">
        <v>158</v>
      </c>
    </row>
    <row r="57" spans="1:22" ht="27.6">
      <c r="A57" s="8" t="s">
        <v>469</v>
      </c>
      <c r="B57" s="7" t="s">
        <v>159</v>
      </c>
      <c r="C57" s="8" t="s">
        <v>470</v>
      </c>
      <c r="D57" s="8" t="s">
        <v>471</v>
      </c>
      <c r="E57" s="7" t="s">
        <v>112</v>
      </c>
      <c r="F57" s="7" t="s">
        <v>142</v>
      </c>
      <c r="G57" s="7" t="s">
        <v>143</v>
      </c>
      <c r="H57" s="7" t="s">
        <v>454</v>
      </c>
      <c r="I57" s="7" t="s">
        <v>378</v>
      </c>
      <c r="J57" s="7" t="s">
        <v>472</v>
      </c>
      <c r="K57" s="7" t="s">
        <v>455</v>
      </c>
      <c r="L57" s="7" t="s">
        <v>473</v>
      </c>
      <c r="M57" s="8" t="s">
        <v>160</v>
      </c>
      <c r="N57" s="8" t="s">
        <v>161</v>
      </c>
      <c r="O57" s="8" t="s">
        <v>162</v>
      </c>
      <c r="P57" s="8" t="s">
        <v>151</v>
      </c>
      <c r="Q57" s="7" t="s">
        <v>474</v>
      </c>
      <c r="R57" s="7" t="s">
        <v>434</v>
      </c>
      <c r="S57" s="7" t="s">
        <v>468</v>
      </c>
      <c r="T57" s="7" t="s">
        <v>257</v>
      </c>
      <c r="U57" s="7"/>
      <c r="V57" s="7" t="s">
        <v>163</v>
      </c>
    </row>
    <row r="58" spans="1:22" ht="27.6">
      <c r="A58" s="8" t="s">
        <v>475</v>
      </c>
      <c r="B58" s="7" t="s">
        <v>164</v>
      </c>
      <c r="C58" s="8" t="s">
        <v>476</v>
      </c>
      <c r="D58" s="8" t="s">
        <v>477</v>
      </c>
      <c r="E58" s="7" t="s">
        <v>112</v>
      </c>
      <c r="F58" s="7" t="s">
        <v>142</v>
      </c>
      <c r="G58" s="7" t="s">
        <v>143</v>
      </c>
      <c r="H58" s="7" t="s">
        <v>454</v>
      </c>
      <c r="I58" s="7" t="s">
        <v>478</v>
      </c>
      <c r="J58" s="7" t="s">
        <v>479</v>
      </c>
      <c r="K58" s="7" t="s">
        <v>455</v>
      </c>
      <c r="L58" s="7" t="s">
        <v>480</v>
      </c>
      <c r="M58" s="8" t="s">
        <v>165</v>
      </c>
      <c r="N58" s="8" t="s">
        <v>161</v>
      </c>
      <c r="O58" s="8" t="s">
        <v>162</v>
      </c>
      <c r="P58" s="8" t="s">
        <v>166</v>
      </c>
      <c r="Q58" s="7" t="s">
        <v>481</v>
      </c>
      <c r="R58" s="7" t="s">
        <v>434</v>
      </c>
      <c r="S58" s="7" t="s">
        <v>468</v>
      </c>
      <c r="T58" s="7" t="s">
        <v>257</v>
      </c>
      <c r="U58" s="7"/>
      <c r="V58" s="7" t="s">
        <v>163</v>
      </c>
    </row>
    <row r="59" spans="1:22" ht="27.6">
      <c r="A59" s="8" t="s">
        <v>482</v>
      </c>
      <c r="B59" s="7" t="s">
        <v>169</v>
      </c>
      <c r="C59" s="8" t="s">
        <v>483</v>
      </c>
      <c r="D59" s="8" t="s">
        <v>484</v>
      </c>
      <c r="E59" s="7" t="s">
        <v>112</v>
      </c>
      <c r="F59" s="7" t="s">
        <v>167</v>
      </c>
      <c r="G59" s="7" t="s">
        <v>168</v>
      </c>
      <c r="H59" s="7" t="s">
        <v>485</v>
      </c>
      <c r="I59" s="7" t="s">
        <v>378</v>
      </c>
      <c r="J59" s="7" t="s">
        <v>486</v>
      </c>
      <c r="K59" s="7" t="s">
        <v>455</v>
      </c>
      <c r="L59" s="7" t="s">
        <v>487</v>
      </c>
      <c r="M59" s="8" t="s">
        <v>170</v>
      </c>
      <c r="N59" s="8" t="s">
        <v>171</v>
      </c>
      <c r="O59" s="8" t="s">
        <v>172</v>
      </c>
      <c r="P59" s="8" t="s">
        <v>173</v>
      </c>
      <c r="Q59" s="7" t="s">
        <v>488</v>
      </c>
      <c r="R59" s="7" t="s">
        <v>489</v>
      </c>
      <c r="S59" s="7" t="s">
        <v>256</v>
      </c>
      <c r="T59" s="7" t="s">
        <v>257</v>
      </c>
      <c r="U59" s="7"/>
      <c r="V59" s="7" t="s">
        <v>174</v>
      </c>
    </row>
    <row r="60" spans="1:22" ht="41.4">
      <c r="A60" s="8" t="s">
        <v>490</v>
      </c>
      <c r="B60" s="7" t="s">
        <v>175</v>
      </c>
      <c r="C60" s="8" t="s">
        <v>491</v>
      </c>
      <c r="D60" s="8" t="s">
        <v>492</v>
      </c>
      <c r="E60" s="7" t="s">
        <v>112</v>
      </c>
      <c r="F60" s="7" t="s">
        <v>167</v>
      </c>
      <c r="G60" s="7" t="s">
        <v>168</v>
      </c>
      <c r="H60" s="7" t="s">
        <v>485</v>
      </c>
      <c r="I60" s="7" t="s">
        <v>378</v>
      </c>
      <c r="J60" s="7" t="s">
        <v>493</v>
      </c>
      <c r="K60" s="7" t="s">
        <v>455</v>
      </c>
      <c r="L60" s="7" t="s">
        <v>494</v>
      </c>
      <c r="M60" s="8" t="s">
        <v>176</v>
      </c>
      <c r="N60" s="8" t="s">
        <v>131</v>
      </c>
      <c r="O60" s="8" t="s">
        <v>132</v>
      </c>
      <c r="P60" s="8" t="s">
        <v>177</v>
      </c>
      <c r="Q60" s="7" t="s">
        <v>495</v>
      </c>
      <c r="R60" s="7" t="s">
        <v>489</v>
      </c>
      <c r="S60" s="7" t="s">
        <v>256</v>
      </c>
      <c r="T60" s="7" t="s">
        <v>257</v>
      </c>
      <c r="U60" s="7"/>
      <c r="V60" s="7" t="s">
        <v>178</v>
      </c>
    </row>
    <row r="61" spans="1:22" ht="27.6">
      <c r="A61" s="8" t="s">
        <v>496</v>
      </c>
      <c r="B61" s="7" t="s">
        <v>179</v>
      </c>
      <c r="C61" s="8" t="s">
        <v>497</v>
      </c>
      <c r="D61" s="8" t="s">
        <v>498</v>
      </c>
      <c r="E61" s="7" t="s">
        <v>112</v>
      </c>
      <c r="F61" s="7" t="s">
        <v>167</v>
      </c>
      <c r="G61" s="7" t="s">
        <v>168</v>
      </c>
      <c r="H61" s="7" t="s">
        <v>485</v>
      </c>
      <c r="I61" s="7" t="s">
        <v>250</v>
      </c>
      <c r="J61" s="7" t="s">
        <v>251</v>
      </c>
      <c r="K61" s="7" t="s">
        <v>455</v>
      </c>
      <c r="L61" s="7" t="s">
        <v>499</v>
      </c>
      <c r="M61" s="8" t="s">
        <v>180</v>
      </c>
      <c r="N61" s="8" t="s">
        <v>171</v>
      </c>
      <c r="O61" s="8" t="s">
        <v>172</v>
      </c>
      <c r="P61" s="8" t="s">
        <v>173</v>
      </c>
      <c r="Q61" s="7" t="s">
        <v>500</v>
      </c>
      <c r="R61" s="7" t="s">
        <v>489</v>
      </c>
      <c r="S61" s="7" t="s">
        <v>256</v>
      </c>
      <c r="T61" s="7" t="s">
        <v>257</v>
      </c>
      <c r="U61" s="7"/>
      <c r="V61" s="7" t="s">
        <v>174</v>
      </c>
    </row>
    <row r="62" spans="1:22" ht="27.6">
      <c r="A62" s="8" t="s">
        <v>501</v>
      </c>
      <c r="B62" s="7" t="s">
        <v>182</v>
      </c>
      <c r="C62" s="8" t="s">
        <v>502</v>
      </c>
      <c r="D62" s="8" t="s">
        <v>503</v>
      </c>
      <c r="E62" s="7" t="s">
        <v>112</v>
      </c>
      <c r="F62" s="7" t="s">
        <v>167</v>
      </c>
      <c r="G62" s="7" t="s">
        <v>181</v>
      </c>
      <c r="H62" s="7" t="s">
        <v>504</v>
      </c>
      <c r="I62" s="7" t="s">
        <v>378</v>
      </c>
      <c r="J62" s="7" t="s">
        <v>426</v>
      </c>
      <c r="K62" s="7" t="s">
        <v>455</v>
      </c>
      <c r="L62" s="7" t="s">
        <v>456</v>
      </c>
      <c r="M62" s="8" t="s">
        <v>183</v>
      </c>
      <c r="N62" s="8" t="s">
        <v>184</v>
      </c>
      <c r="O62" s="8" t="s">
        <v>15</v>
      </c>
      <c r="P62" s="8" t="s">
        <v>185</v>
      </c>
      <c r="Q62" s="7" t="s">
        <v>443</v>
      </c>
      <c r="R62" s="7" t="s">
        <v>458</v>
      </c>
      <c r="S62" s="7" t="s">
        <v>468</v>
      </c>
      <c r="T62" s="7" t="s">
        <v>257</v>
      </c>
      <c r="U62" s="7"/>
      <c r="V62" s="7" t="s">
        <v>186</v>
      </c>
    </row>
    <row r="63" spans="1:22" ht="27.6">
      <c r="A63" s="8" t="s">
        <v>505</v>
      </c>
      <c r="B63" s="7" t="s">
        <v>187</v>
      </c>
      <c r="C63" s="8" t="s">
        <v>506</v>
      </c>
      <c r="D63" s="8" t="s">
        <v>507</v>
      </c>
      <c r="E63" s="7" t="s">
        <v>112</v>
      </c>
      <c r="F63" s="7" t="s">
        <v>167</v>
      </c>
      <c r="G63" s="7" t="s">
        <v>181</v>
      </c>
      <c r="H63" s="7" t="s">
        <v>504</v>
      </c>
      <c r="I63" s="7" t="s">
        <v>378</v>
      </c>
      <c r="J63" s="7" t="s">
        <v>426</v>
      </c>
      <c r="K63" s="7" t="s">
        <v>455</v>
      </c>
      <c r="L63" s="7" t="s">
        <v>442</v>
      </c>
      <c r="M63" s="8" t="s">
        <v>188</v>
      </c>
      <c r="N63" s="8" t="s">
        <v>92</v>
      </c>
      <c r="O63" s="8" t="s">
        <v>93</v>
      </c>
      <c r="P63" s="8" t="s">
        <v>185</v>
      </c>
      <c r="Q63" s="7" t="s">
        <v>443</v>
      </c>
      <c r="R63" s="7" t="s">
        <v>434</v>
      </c>
      <c r="S63" s="7" t="s">
        <v>417</v>
      </c>
      <c r="T63" s="7" t="s">
        <v>257</v>
      </c>
      <c r="U63" s="7"/>
      <c r="V63" s="7" t="s">
        <v>189</v>
      </c>
    </row>
    <row r="64" spans="1:22" ht="27.6">
      <c r="A64" s="8" t="s">
        <v>508</v>
      </c>
      <c r="B64" s="7" t="s">
        <v>190</v>
      </c>
      <c r="C64" s="8" t="s">
        <v>509</v>
      </c>
      <c r="D64" s="8" t="s">
        <v>510</v>
      </c>
      <c r="E64" s="7" t="s">
        <v>112</v>
      </c>
      <c r="F64" s="7" t="s">
        <v>167</v>
      </c>
      <c r="G64" s="7" t="s">
        <v>181</v>
      </c>
      <c r="H64" s="7" t="s">
        <v>504</v>
      </c>
      <c r="I64" s="7" t="s">
        <v>378</v>
      </c>
      <c r="J64" s="7" t="s">
        <v>426</v>
      </c>
      <c r="K64" s="7" t="s">
        <v>455</v>
      </c>
      <c r="L64" s="7" t="s">
        <v>442</v>
      </c>
      <c r="M64" s="8" t="s">
        <v>191</v>
      </c>
      <c r="N64" s="8" t="s">
        <v>92</v>
      </c>
      <c r="O64" s="8" t="s">
        <v>93</v>
      </c>
      <c r="P64" s="8" t="s">
        <v>185</v>
      </c>
      <c r="Q64" s="7" t="s">
        <v>443</v>
      </c>
      <c r="R64" s="7" t="s">
        <v>434</v>
      </c>
      <c r="S64" s="7" t="s">
        <v>417</v>
      </c>
      <c r="T64" s="7" t="s">
        <v>257</v>
      </c>
      <c r="U64" s="7"/>
      <c r="V64" s="7" t="s">
        <v>189</v>
      </c>
    </row>
    <row r="65" spans="1:22" ht="27.6">
      <c r="A65" s="8" t="s">
        <v>511</v>
      </c>
      <c r="B65" s="7" t="s">
        <v>192</v>
      </c>
      <c r="C65" s="8" t="s">
        <v>512</v>
      </c>
      <c r="D65" s="8" t="s">
        <v>513</v>
      </c>
      <c r="E65" s="7" t="s">
        <v>112</v>
      </c>
      <c r="F65" s="7" t="s">
        <v>167</v>
      </c>
      <c r="G65" s="7" t="s">
        <v>181</v>
      </c>
      <c r="H65" s="7" t="s">
        <v>504</v>
      </c>
      <c r="I65" s="7" t="s">
        <v>378</v>
      </c>
      <c r="J65" s="7" t="s">
        <v>426</v>
      </c>
      <c r="K65" s="7" t="s">
        <v>455</v>
      </c>
      <c r="L65" s="7" t="s">
        <v>442</v>
      </c>
      <c r="M65" s="8" t="s">
        <v>193</v>
      </c>
      <c r="N65" s="8" t="s">
        <v>92</v>
      </c>
      <c r="O65" s="8" t="s">
        <v>93</v>
      </c>
      <c r="P65" s="8" t="s">
        <v>194</v>
      </c>
      <c r="Q65" s="7" t="s">
        <v>443</v>
      </c>
      <c r="R65" s="7" t="s">
        <v>434</v>
      </c>
      <c r="S65" s="7" t="s">
        <v>417</v>
      </c>
      <c r="T65" s="7" t="s">
        <v>257</v>
      </c>
      <c r="U65" s="7"/>
      <c r="V65" s="7" t="s">
        <v>189</v>
      </c>
    </row>
    <row r="66" spans="1:22" ht="27.6">
      <c r="A66" s="8" t="s">
        <v>514</v>
      </c>
      <c r="B66" s="7" t="s">
        <v>195</v>
      </c>
      <c r="C66" s="8" t="s">
        <v>515</v>
      </c>
      <c r="D66" s="8" t="s">
        <v>516</v>
      </c>
      <c r="E66" s="7" t="s">
        <v>112</v>
      </c>
      <c r="F66" s="7" t="s">
        <v>167</v>
      </c>
      <c r="G66" s="7" t="s">
        <v>181</v>
      </c>
      <c r="H66" s="7" t="s">
        <v>504</v>
      </c>
      <c r="I66" s="7" t="s">
        <v>378</v>
      </c>
      <c r="J66" s="7" t="s">
        <v>426</v>
      </c>
      <c r="K66" s="7" t="s">
        <v>455</v>
      </c>
      <c r="L66" s="7" t="s">
        <v>456</v>
      </c>
      <c r="M66" s="8" t="s">
        <v>196</v>
      </c>
      <c r="N66" s="8" t="s">
        <v>197</v>
      </c>
      <c r="O66" s="8" t="s">
        <v>198</v>
      </c>
      <c r="P66" s="8" t="s">
        <v>199</v>
      </c>
      <c r="Q66" s="7" t="s">
        <v>467</v>
      </c>
      <c r="R66" s="7" t="s">
        <v>458</v>
      </c>
      <c r="S66" s="7" t="s">
        <v>468</v>
      </c>
      <c r="T66" s="7" t="s">
        <v>257</v>
      </c>
      <c r="U66" s="7"/>
      <c r="V66" s="7" t="s">
        <v>200</v>
      </c>
    </row>
    <row r="67" spans="1:22" ht="27.6">
      <c r="A67" s="8" t="s">
        <v>517</v>
      </c>
      <c r="B67" s="7" t="s">
        <v>201</v>
      </c>
      <c r="C67" s="8" t="s">
        <v>518</v>
      </c>
      <c r="D67" s="8" t="s">
        <v>519</v>
      </c>
      <c r="E67" s="7" t="s">
        <v>112</v>
      </c>
      <c r="F67" s="7" t="s">
        <v>167</v>
      </c>
      <c r="G67" s="7" t="s">
        <v>181</v>
      </c>
      <c r="H67" s="7" t="s">
        <v>504</v>
      </c>
      <c r="I67" s="7" t="s">
        <v>250</v>
      </c>
      <c r="J67" s="7" t="s">
        <v>520</v>
      </c>
      <c r="K67" s="7" t="s">
        <v>455</v>
      </c>
      <c r="L67" s="7" t="s">
        <v>521</v>
      </c>
      <c r="M67" s="8" t="s">
        <v>202</v>
      </c>
      <c r="N67" s="8" t="s">
        <v>184</v>
      </c>
      <c r="O67" s="8" t="s">
        <v>15</v>
      </c>
      <c r="P67" s="8" t="s">
        <v>185</v>
      </c>
      <c r="Q67" s="7" t="s">
        <v>522</v>
      </c>
      <c r="R67" s="7" t="s">
        <v>434</v>
      </c>
      <c r="S67" s="7" t="s">
        <v>468</v>
      </c>
      <c r="T67" s="7" t="s">
        <v>257</v>
      </c>
      <c r="U67" s="7"/>
      <c r="V67" s="7" t="s">
        <v>186</v>
      </c>
    </row>
    <row r="68" spans="1:22" ht="27.6">
      <c r="A68" s="8" t="s">
        <v>523</v>
      </c>
      <c r="B68" s="7" t="s">
        <v>203</v>
      </c>
      <c r="C68" s="8" t="s">
        <v>524</v>
      </c>
      <c r="D68" s="8" t="s">
        <v>525</v>
      </c>
      <c r="E68" s="7" t="s">
        <v>112</v>
      </c>
      <c r="F68" s="7" t="s">
        <v>167</v>
      </c>
      <c r="G68" s="7" t="s">
        <v>181</v>
      </c>
      <c r="H68" s="7" t="s">
        <v>504</v>
      </c>
      <c r="I68" s="7" t="s">
        <v>250</v>
      </c>
      <c r="J68" s="7" t="s">
        <v>251</v>
      </c>
      <c r="K68" s="7" t="s">
        <v>455</v>
      </c>
      <c r="L68" s="7" t="s">
        <v>526</v>
      </c>
      <c r="M68" s="8" t="s">
        <v>13</v>
      </c>
      <c r="N68" s="8" t="s">
        <v>184</v>
      </c>
      <c r="O68" s="8" t="s">
        <v>15</v>
      </c>
      <c r="P68" s="8" t="s">
        <v>185</v>
      </c>
      <c r="Q68" s="7" t="s">
        <v>527</v>
      </c>
      <c r="R68" s="7" t="s">
        <v>489</v>
      </c>
      <c r="S68" s="7" t="s">
        <v>256</v>
      </c>
      <c r="T68" s="7" t="s">
        <v>257</v>
      </c>
      <c r="U68" s="7"/>
      <c r="V68" s="7" t="s">
        <v>186</v>
      </c>
    </row>
    <row r="69" spans="1:22" ht="27.6">
      <c r="A69" s="8" t="s">
        <v>528</v>
      </c>
      <c r="B69" s="7" t="s">
        <v>204</v>
      </c>
      <c r="C69" s="8" t="s">
        <v>529</v>
      </c>
      <c r="D69" s="8" t="s">
        <v>530</v>
      </c>
      <c r="E69" s="7" t="s">
        <v>112</v>
      </c>
      <c r="F69" s="7" t="s">
        <v>167</v>
      </c>
      <c r="G69" s="7" t="s">
        <v>181</v>
      </c>
      <c r="H69" s="7" t="s">
        <v>504</v>
      </c>
      <c r="I69" s="7" t="s">
        <v>250</v>
      </c>
      <c r="J69" s="7" t="s">
        <v>251</v>
      </c>
      <c r="K69" s="7" t="s">
        <v>455</v>
      </c>
      <c r="L69" s="7" t="s">
        <v>531</v>
      </c>
      <c r="M69" s="8" t="s">
        <v>13</v>
      </c>
      <c r="N69" s="8" t="s">
        <v>184</v>
      </c>
      <c r="O69" s="8" t="s">
        <v>15</v>
      </c>
      <c r="P69" s="8" t="s">
        <v>185</v>
      </c>
      <c r="Q69" s="7" t="s">
        <v>532</v>
      </c>
      <c r="R69" s="7" t="s">
        <v>489</v>
      </c>
      <c r="S69" s="7" t="s">
        <v>256</v>
      </c>
      <c r="T69" s="7" t="s">
        <v>257</v>
      </c>
      <c r="U69" s="7"/>
      <c r="V69" s="7" t="s">
        <v>186</v>
      </c>
    </row>
    <row r="70" spans="1:22" ht="41.4">
      <c r="A70" s="8" t="s">
        <v>533</v>
      </c>
      <c r="B70" s="7" t="s">
        <v>207</v>
      </c>
      <c r="C70" s="8" t="s">
        <v>429</v>
      </c>
      <c r="D70" s="8" t="s">
        <v>430</v>
      </c>
      <c r="E70" s="7" t="s">
        <v>112</v>
      </c>
      <c r="F70" s="7" t="s">
        <v>205</v>
      </c>
      <c r="G70" s="7" t="s">
        <v>206</v>
      </c>
      <c r="H70" s="7" t="s">
        <v>431</v>
      </c>
      <c r="I70" s="7" t="s">
        <v>378</v>
      </c>
      <c r="J70" s="7" t="s">
        <v>426</v>
      </c>
      <c r="K70" s="7" t="s">
        <v>252</v>
      </c>
      <c r="L70" s="7" t="s">
        <v>432</v>
      </c>
      <c r="M70" s="8" t="s">
        <v>130</v>
      </c>
      <c r="N70" s="8" t="s">
        <v>131</v>
      </c>
      <c r="O70" s="8" t="s">
        <v>132</v>
      </c>
      <c r="P70" s="8" t="s">
        <v>208</v>
      </c>
      <c r="Q70" s="7" t="s">
        <v>433</v>
      </c>
      <c r="R70" s="7" t="s">
        <v>434</v>
      </c>
      <c r="S70" s="7" t="s">
        <v>435</v>
      </c>
      <c r="T70" s="7" t="s">
        <v>436</v>
      </c>
      <c r="U70" s="7" t="s">
        <v>437</v>
      </c>
      <c r="V70" s="7" t="s">
        <v>134</v>
      </c>
    </row>
    <row r="71" spans="1:22" ht="41.4">
      <c r="A71" s="8" t="s">
        <v>534</v>
      </c>
      <c r="B71" s="7" t="s">
        <v>135</v>
      </c>
      <c r="C71" s="8" t="s">
        <v>439</v>
      </c>
      <c r="D71" s="8" t="s">
        <v>440</v>
      </c>
      <c r="E71" s="7" t="s">
        <v>112</v>
      </c>
      <c r="F71" s="7" t="s">
        <v>205</v>
      </c>
      <c r="G71" s="7" t="s">
        <v>209</v>
      </c>
      <c r="H71" s="7" t="s">
        <v>441</v>
      </c>
      <c r="I71" s="7" t="s">
        <v>378</v>
      </c>
      <c r="J71" s="7" t="s">
        <v>426</v>
      </c>
      <c r="K71" s="7" t="s">
        <v>252</v>
      </c>
      <c r="L71" s="7" t="s">
        <v>442</v>
      </c>
      <c r="M71" s="8" t="s">
        <v>136</v>
      </c>
      <c r="N71" s="8" t="s">
        <v>131</v>
      </c>
      <c r="O71" s="8" t="s">
        <v>132</v>
      </c>
      <c r="P71" s="8" t="s">
        <v>137</v>
      </c>
      <c r="Q71" s="7" t="s">
        <v>443</v>
      </c>
      <c r="R71" s="7" t="s">
        <v>416</v>
      </c>
      <c r="S71" s="7" t="s">
        <v>435</v>
      </c>
      <c r="T71" s="7" t="s">
        <v>436</v>
      </c>
      <c r="U71" s="7" t="s">
        <v>444</v>
      </c>
      <c r="V71" s="7" t="s">
        <v>134</v>
      </c>
    </row>
    <row r="72" spans="1:22" ht="41.4">
      <c r="A72" s="8" t="s">
        <v>535</v>
      </c>
      <c r="B72" s="7" t="s">
        <v>138</v>
      </c>
      <c r="C72" s="8" t="s">
        <v>446</v>
      </c>
      <c r="D72" s="8" t="s">
        <v>447</v>
      </c>
      <c r="E72" s="7" t="s">
        <v>112</v>
      </c>
      <c r="F72" s="7" t="s">
        <v>205</v>
      </c>
      <c r="G72" s="7" t="s">
        <v>209</v>
      </c>
      <c r="H72" s="7" t="s">
        <v>441</v>
      </c>
      <c r="I72" s="7" t="s">
        <v>378</v>
      </c>
      <c r="J72" s="7" t="s">
        <v>413</v>
      </c>
      <c r="K72" s="7" t="s">
        <v>252</v>
      </c>
      <c r="L72" s="7" t="s">
        <v>414</v>
      </c>
      <c r="M72" s="8" t="s">
        <v>139</v>
      </c>
      <c r="N72" s="8" t="s">
        <v>131</v>
      </c>
      <c r="O72" s="8" t="s">
        <v>132</v>
      </c>
      <c r="P72" s="8" t="s">
        <v>137</v>
      </c>
      <c r="Q72" s="7" t="s">
        <v>443</v>
      </c>
      <c r="R72" s="7" t="s">
        <v>416</v>
      </c>
      <c r="S72" s="7" t="s">
        <v>435</v>
      </c>
      <c r="T72" s="7" t="s">
        <v>436</v>
      </c>
      <c r="U72" s="7" t="s">
        <v>444</v>
      </c>
      <c r="V72" s="7" t="s">
        <v>134</v>
      </c>
    </row>
    <row r="73" spans="1:22" ht="41.4">
      <c r="A73" s="8" t="s">
        <v>536</v>
      </c>
      <c r="B73" s="7" t="s">
        <v>140</v>
      </c>
      <c r="C73" s="8" t="s">
        <v>449</v>
      </c>
      <c r="D73" s="8" t="s">
        <v>450</v>
      </c>
      <c r="E73" s="7" t="s">
        <v>112</v>
      </c>
      <c r="F73" s="7" t="s">
        <v>205</v>
      </c>
      <c r="G73" s="7" t="s">
        <v>209</v>
      </c>
      <c r="H73" s="7" t="s">
        <v>441</v>
      </c>
      <c r="I73" s="7" t="s">
        <v>378</v>
      </c>
      <c r="J73" s="7" t="s">
        <v>421</v>
      </c>
      <c r="K73" s="7" t="s">
        <v>252</v>
      </c>
      <c r="L73" s="7" t="s">
        <v>422</v>
      </c>
      <c r="M73" s="8" t="s">
        <v>141</v>
      </c>
      <c r="N73" s="8" t="s">
        <v>131</v>
      </c>
      <c r="O73" s="8" t="s">
        <v>132</v>
      </c>
      <c r="P73" s="8" t="s">
        <v>137</v>
      </c>
      <c r="Q73" s="7" t="s">
        <v>415</v>
      </c>
      <c r="R73" s="7" t="s">
        <v>416</v>
      </c>
      <c r="S73" s="7" t="s">
        <v>417</v>
      </c>
      <c r="T73" s="7" t="s">
        <v>436</v>
      </c>
      <c r="U73" s="7" t="s">
        <v>444</v>
      </c>
      <c r="V73" s="7" t="s">
        <v>134</v>
      </c>
    </row>
  </sheetData>
  <mergeCells count="2">
    <mergeCell ref="A1:V1"/>
    <mergeCell ref="A2:V2"/>
  </mergeCells>
  <conditionalFormatting sqref="S4:S73">
    <cfRule type="expression" dxfId="5" priority="4">
      <formula>S4="P0"</formula>
    </cfRule>
  </conditionalFormatting>
  <conditionalFormatting sqref="T4:T73">
    <cfRule type="expression" dxfId="4" priority="1">
      <formula>ISNUMBER(SEARCH("Pendente",T4))</formula>
    </cfRule>
    <cfRule type="expression" dxfId="3" priority="2">
      <formula>ISNUMBER(SEARCH("Revisar",T4))</formula>
    </cfRule>
    <cfRule type="expression" dxfId="2" priority="3">
      <formula>T4="Documentado"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300-000000000000}">
          <x14:formula1>
            <xm:f>'Listas Dicionário'!$B$2:$B$6</xm:f>
          </x14:formula1>
          <xm:sqref>I4:I73</xm:sqref>
        </x14:dataValidation>
        <x14:dataValidation type="list" xr:uid="{00000000-0002-0000-0300-000001000000}">
          <x14:formula1>
            <xm:f>'Listas Dicionário'!$A$2:$A$4</xm:f>
          </x14:formula1>
          <xm:sqref>K4:K73</xm:sqref>
        </x14:dataValidation>
        <x14:dataValidation type="list" xr:uid="{00000000-0002-0000-0300-000002000000}">
          <x14:formula1>
            <xm:f>'Listas Dicionário'!$C$2:$C$6</xm:f>
          </x14:formula1>
          <xm:sqref>R4:R73</xm:sqref>
        </x14:dataValidation>
        <x14:dataValidation type="list" xr:uid="{00000000-0002-0000-0300-000003000000}">
          <x14:formula1>
            <xm:f>'Listas Dicionário'!$D$2:$D$5</xm:f>
          </x14:formula1>
          <xm:sqref>S4:S73</xm:sqref>
        </x14:dataValidation>
        <x14:dataValidation type="list" xr:uid="{00000000-0002-0000-0300-000004000000}">
          <x14:formula1>
            <xm:f>'Listas Dicionário'!$E$2:$E$7</xm:f>
          </x14:formula1>
          <xm:sqref>T4:T73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workbookViewId="0">
      <selection sqref="A1:H1"/>
    </sheetView>
  </sheetViews>
  <sheetFormatPr defaultRowHeight="13.8"/>
  <cols>
    <col min="1" max="1" width="32" customWidth="1"/>
    <col min="2" max="2" width="58" customWidth="1"/>
    <col min="3" max="3" width="52" customWidth="1"/>
    <col min="5" max="6" width="14" customWidth="1"/>
    <col min="7" max="7" width="42" customWidth="1"/>
    <col min="8" max="8" width="38" customWidth="1"/>
    <col min="9" max="9" width="48" customWidth="1"/>
  </cols>
  <sheetData>
    <row r="1" spans="1:9" ht="22.35" customHeight="1">
      <c r="A1" s="11" t="s">
        <v>537</v>
      </c>
      <c r="B1" s="11"/>
      <c r="C1" s="11"/>
      <c r="D1" s="11"/>
      <c r="E1" s="11"/>
      <c r="F1" s="11"/>
      <c r="G1" s="11"/>
      <c r="H1" s="11"/>
    </row>
    <row r="2" spans="1:9" ht="24" customHeight="1">
      <c r="A2" s="12" t="s">
        <v>538</v>
      </c>
      <c r="B2" s="12"/>
      <c r="C2" s="12"/>
      <c r="D2" s="12"/>
      <c r="E2" s="12"/>
      <c r="F2" s="12"/>
      <c r="G2" s="12"/>
      <c r="H2" s="12"/>
    </row>
    <row r="4" spans="1:9">
      <c r="A4" s="6" t="s">
        <v>539</v>
      </c>
      <c r="B4" s="6" t="s">
        <v>540</v>
      </c>
      <c r="C4" s="6" t="s">
        <v>541</v>
      </c>
      <c r="E4" s="6" t="s">
        <v>0</v>
      </c>
      <c r="F4" s="6" t="s">
        <v>542</v>
      </c>
    </row>
    <row r="5" spans="1:9">
      <c r="A5" s="2" t="s">
        <v>211</v>
      </c>
      <c r="B5" s="2">
        <f>COUNTA('Dicionário API'!A4:A73)</f>
        <v>70</v>
      </c>
      <c r="C5" s="2" t="s">
        <v>543</v>
      </c>
      <c r="E5" t="s">
        <v>9</v>
      </c>
      <c r="F5">
        <f>COUNTIF('Dicionário API'!E4:E73,E5)</f>
        <v>43</v>
      </c>
    </row>
    <row r="6" spans="1:9">
      <c r="A6" s="2" t="s">
        <v>213</v>
      </c>
      <c r="B6" s="2">
        <f>COUNTIF('Dicionário API'!E4:E73,"Tributário")</f>
        <v>43</v>
      </c>
      <c r="C6" s="2" t="s">
        <v>544</v>
      </c>
      <c r="E6" t="s">
        <v>112</v>
      </c>
      <c r="F6">
        <f>COUNTIF('Dicionário API'!E4:E73,E6)</f>
        <v>27</v>
      </c>
    </row>
    <row r="7" spans="1:9">
      <c r="A7" s="2" t="s">
        <v>214</v>
      </c>
      <c r="B7" s="2">
        <f>COUNTIF('Dicionário API'!E4:E73,"Não tributária")</f>
        <v>27</v>
      </c>
      <c r="C7" s="2" t="s">
        <v>545</v>
      </c>
    </row>
    <row r="8" spans="1:9">
      <c r="A8" s="2" t="s">
        <v>546</v>
      </c>
      <c r="B8" s="2">
        <f>COUNTIF('Dicionário API'!T4:T73,"Documentado")</f>
        <v>57</v>
      </c>
      <c r="C8" s="2" t="s">
        <v>547</v>
      </c>
    </row>
    <row r="9" spans="1:9">
      <c r="A9" s="2" t="s">
        <v>548</v>
      </c>
      <c r="B9" s="2">
        <f>COUNTIF('Dicionário API'!T4:T73,"Pendente exemplo")+COUNTIF('Dicionário API'!T4:T73,"Pendente exemplo; Revisar domínio")+COUNTIF('Dicionário API'!T4:T73,"Pendente exemplo; Revisar duplicidade")</f>
        <v>4</v>
      </c>
      <c r="C9" s="2" t="s">
        <v>549</v>
      </c>
    </row>
    <row r="10" spans="1:9">
      <c r="A10" s="2" t="s">
        <v>550</v>
      </c>
      <c r="B10" s="2">
        <f>COUNTIF('Dicionário API'!T4:T73,"Revisar domínio")+COUNTIF('Dicionário API'!T4:T73,"Revisar duplicidade")+COUNTIF('Dicionário API'!T4:T73,"Pendente exemplo; Revisar domínio")+COUNTIF('Dicionário API'!T4:T73,"Pendente exemplo; Revisar duplicidade")</f>
        <v>9</v>
      </c>
      <c r="C10" s="2" t="s">
        <v>551</v>
      </c>
    </row>
    <row r="11" spans="1:9">
      <c r="A11" s="2" t="s">
        <v>552</v>
      </c>
      <c r="B11" s="2">
        <f>COUNTIF('Dicionário API'!R4:R73,"Dado pessoal")</f>
        <v>9</v>
      </c>
      <c r="C11" s="2" t="s">
        <v>553</v>
      </c>
    </row>
    <row r="12" spans="1:9">
      <c r="A12" s="2" t="s">
        <v>554</v>
      </c>
      <c r="B12" s="2">
        <f>COUNTIF('Dicionário API'!S4:S73,"P0")</f>
        <v>50</v>
      </c>
      <c r="C12" s="2" t="s">
        <v>555</v>
      </c>
    </row>
    <row r="13" spans="1:9">
      <c r="A13" s="2" t="s">
        <v>556</v>
      </c>
      <c r="B13" s="9">
        <f>B8/B5</f>
        <v>0.81428571428571428</v>
      </c>
      <c r="C13" s="2" t="s">
        <v>557</v>
      </c>
    </row>
    <row r="16" spans="1:9">
      <c r="A16" s="6" t="s">
        <v>232</v>
      </c>
      <c r="B16" s="6" t="s">
        <v>542</v>
      </c>
      <c r="E16" s="6" t="s">
        <v>558</v>
      </c>
      <c r="F16" s="6" t="s">
        <v>559</v>
      </c>
      <c r="G16" s="6" t="s">
        <v>560</v>
      </c>
      <c r="H16" s="6" t="s">
        <v>561</v>
      </c>
      <c r="I16" s="6" t="s">
        <v>562</v>
      </c>
    </row>
    <row r="17" spans="1:9" ht="27.6">
      <c r="A17" t="s">
        <v>412</v>
      </c>
      <c r="B17">
        <f>COUNTIF('Dicionário API'!H4:H73,A17)</f>
        <v>3</v>
      </c>
      <c r="E17" s="2" t="s">
        <v>563</v>
      </c>
      <c r="F17" s="2" t="s">
        <v>564</v>
      </c>
      <c r="G17" s="2" t="s">
        <v>565</v>
      </c>
      <c r="H17" s="2" t="s">
        <v>566</v>
      </c>
      <c r="I17" s="2" t="s">
        <v>567</v>
      </c>
    </row>
    <row r="18" spans="1:9" ht="27.6">
      <c r="A18" t="s">
        <v>377</v>
      </c>
      <c r="B18">
        <f>COUNTIF('Dicionário API'!H4:H73,A18)</f>
        <v>2</v>
      </c>
      <c r="E18" s="2" t="s">
        <v>568</v>
      </c>
      <c r="F18" s="2" t="s">
        <v>564</v>
      </c>
      <c r="G18" s="2" t="s">
        <v>569</v>
      </c>
      <c r="H18" s="2" t="s">
        <v>90</v>
      </c>
      <c r="I18" s="2" t="s">
        <v>570</v>
      </c>
    </row>
    <row r="19" spans="1:9" ht="27.6">
      <c r="A19" t="s">
        <v>454</v>
      </c>
      <c r="B19">
        <f>COUNTIF('Dicionário API'!H4:H73,A19)</f>
        <v>5</v>
      </c>
      <c r="E19" s="2" t="s">
        <v>571</v>
      </c>
      <c r="F19" s="2" t="s">
        <v>572</v>
      </c>
      <c r="G19" s="2" t="s">
        <v>573</v>
      </c>
      <c r="H19" s="2" t="s">
        <v>574</v>
      </c>
      <c r="I19" s="2" t="s">
        <v>575</v>
      </c>
    </row>
    <row r="20" spans="1:9" ht="27.6">
      <c r="A20" t="s">
        <v>504</v>
      </c>
      <c r="B20">
        <f>COUNTIF('Dicionário API'!H4:H73,A20)</f>
        <v>8</v>
      </c>
      <c r="E20" s="2" t="s">
        <v>576</v>
      </c>
      <c r="F20" s="2" t="s">
        <v>572</v>
      </c>
      <c r="G20" s="2" t="s">
        <v>577</v>
      </c>
      <c r="H20" s="2" t="s">
        <v>578</v>
      </c>
      <c r="I20" s="2" t="s">
        <v>579</v>
      </c>
    </row>
    <row r="21" spans="1:9" ht="27.6">
      <c r="A21" t="s">
        <v>431</v>
      </c>
      <c r="B21">
        <f>COUNTIF('Dicionário API'!H4:H73,A21)</f>
        <v>2</v>
      </c>
      <c r="E21" s="2" t="s">
        <v>580</v>
      </c>
      <c r="F21" s="2" t="s">
        <v>572</v>
      </c>
      <c r="G21" s="2" t="s">
        <v>581</v>
      </c>
      <c r="H21" s="2" t="s">
        <v>582</v>
      </c>
      <c r="I21" s="2" t="s">
        <v>583</v>
      </c>
    </row>
    <row r="22" spans="1:9">
      <c r="A22" t="s">
        <v>485</v>
      </c>
      <c r="B22">
        <f>COUNTIF('Dicionário API'!H4:H73,A22)</f>
        <v>3</v>
      </c>
    </row>
    <row r="23" spans="1:9">
      <c r="A23" t="s">
        <v>441</v>
      </c>
      <c r="B23">
        <f>COUNTIF('Dicionário API'!H4:H73,A23)</f>
        <v>6</v>
      </c>
    </row>
    <row r="24" spans="1:9">
      <c r="A24" t="s">
        <v>280</v>
      </c>
      <c r="B24">
        <f>COUNTIF('Dicionário API'!H4:H73,A24)</f>
        <v>9</v>
      </c>
    </row>
    <row r="25" spans="1:9">
      <c r="A25" s="6" t="s">
        <v>249</v>
      </c>
      <c r="B25" s="6">
        <f>COUNTIF('Dicionário API'!H4:H73,A25)</f>
        <v>20</v>
      </c>
    </row>
    <row r="26" spans="1:9">
      <c r="A26" s="2" t="s">
        <v>321</v>
      </c>
      <c r="B26" s="2">
        <f>COUNTIF('Dicionário API'!H4:H73,A26)</f>
        <v>12</v>
      </c>
    </row>
    <row r="27" spans="1:9">
      <c r="A27" s="2"/>
      <c r="B27" s="2"/>
    </row>
    <row r="28" spans="1:9">
      <c r="A28" s="2"/>
      <c r="B28" s="2"/>
    </row>
    <row r="29" spans="1:9">
      <c r="A29" s="2"/>
      <c r="B29" s="2"/>
    </row>
    <row r="30" spans="1:9">
      <c r="A30" s="6" t="s">
        <v>562</v>
      </c>
      <c r="B30" s="6" t="s">
        <v>584</v>
      </c>
    </row>
    <row r="31" spans="1:9" ht="27.6">
      <c r="A31" s="2" t="s">
        <v>585</v>
      </c>
      <c r="B31" s="2" t="s">
        <v>586</v>
      </c>
    </row>
    <row r="32" spans="1:9" ht="27.6">
      <c r="A32" s="2" t="s">
        <v>587</v>
      </c>
      <c r="B32" s="2" t="s">
        <v>588</v>
      </c>
    </row>
    <row r="33" spans="1:2" ht="27.6">
      <c r="A33" s="2" t="s">
        <v>589</v>
      </c>
      <c r="B33" s="2" t="s">
        <v>590</v>
      </c>
    </row>
    <row r="34" spans="1:2" ht="27.6">
      <c r="A34" s="2" t="s">
        <v>591</v>
      </c>
      <c r="B34" s="2" t="s">
        <v>592</v>
      </c>
    </row>
    <row r="35" spans="1:2" ht="27.6">
      <c r="A35" s="2" t="s">
        <v>593</v>
      </c>
      <c r="B35" s="2" t="s">
        <v>594</v>
      </c>
    </row>
  </sheetData>
  <mergeCells count="2">
    <mergeCell ref="A1:H1"/>
    <mergeCell ref="A2:H2"/>
  </mergeCells>
  <conditionalFormatting sqref="F17:F21">
    <cfRule type="expression" dxfId="1" priority="1">
      <formula>F17="Alta"</formula>
    </cfRule>
    <cfRule type="expression" dxfId="0" priority="2">
      <formula>F17="Média"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1"/>
  <sheetViews>
    <sheetView workbookViewId="0">
      <selection sqref="A1:D1"/>
    </sheetView>
  </sheetViews>
  <sheetFormatPr defaultRowHeight="13.8"/>
  <cols>
    <col min="1" max="1" width="110" customWidth="1"/>
  </cols>
  <sheetData>
    <row r="1" spans="1:4" ht="17.399999999999999">
      <c r="A1" s="11" t="s">
        <v>595</v>
      </c>
      <c r="B1" s="11"/>
      <c r="C1" s="11"/>
      <c r="D1" s="11"/>
    </row>
    <row r="2" spans="1:4" ht="14.4">
      <c r="A2" s="12" t="s">
        <v>596</v>
      </c>
      <c r="B2" s="12"/>
      <c r="C2" s="12"/>
      <c r="D2" s="12"/>
    </row>
    <row r="4" spans="1:4">
      <c r="A4" s="6" t="s">
        <v>597</v>
      </c>
    </row>
    <row r="5" spans="1:4">
      <c r="A5" s="10" t="s">
        <v>598</v>
      </c>
    </row>
    <row r="6" spans="1:4">
      <c r="A6" s="10" t="s">
        <v>599</v>
      </c>
    </row>
    <row r="7" spans="1:4">
      <c r="A7" s="10" t="s">
        <v>600</v>
      </c>
    </row>
    <row r="8" spans="1:4">
      <c r="A8" s="10" t="s">
        <v>601</v>
      </c>
    </row>
    <row r="9" spans="1:4">
      <c r="A9" s="10" t="s">
        <v>602</v>
      </c>
    </row>
    <row r="10" spans="1:4">
      <c r="A10" s="10" t="s">
        <v>603</v>
      </c>
    </row>
    <row r="11" spans="1:4">
      <c r="A11" s="10" t="s">
        <v>604</v>
      </c>
    </row>
    <row r="12" spans="1:4">
      <c r="A12" s="10" t="s">
        <v>605</v>
      </c>
    </row>
    <row r="13" spans="1:4">
      <c r="A13" s="10" t="s">
        <v>606</v>
      </c>
    </row>
    <row r="14" spans="1:4">
      <c r="A14" s="10" t="s">
        <v>607</v>
      </c>
    </row>
    <row r="15" spans="1:4">
      <c r="A15" s="10" t="s">
        <v>608</v>
      </c>
    </row>
    <row r="16" spans="1:4">
      <c r="A16" s="10" t="s">
        <v>604</v>
      </c>
    </row>
    <row r="17" spans="1:1">
      <c r="A17" s="10" t="s">
        <v>609</v>
      </c>
    </row>
    <row r="18" spans="1:1">
      <c r="A18" s="10" t="s">
        <v>610</v>
      </c>
    </row>
    <row r="19" spans="1:1">
      <c r="A19" s="10" t="s">
        <v>611</v>
      </c>
    </row>
    <row r="20" spans="1:1">
      <c r="A20" s="10" t="s">
        <v>612</v>
      </c>
    </row>
    <row r="21" spans="1:1">
      <c r="A21" s="10" t="s">
        <v>613</v>
      </c>
    </row>
    <row r="22" spans="1:1">
      <c r="A22" s="10" t="s">
        <v>614</v>
      </c>
    </row>
    <row r="23" spans="1:1">
      <c r="A23" s="10" t="s">
        <v>604</v>
      </c>
    </row>
    <row r="24" spans="1:1">
      <c r="A24" s="10" t="s">
        <v>615</v>
      </c>
    </row>
    <row r="25" spans="1:1">
      <c r="A25" s="10" t="s">
        <v>616</v>
      </c>
    </row>
    <row r="26" spans="1:1">
      <c r="A26" s="10" t="s">
        <v>617</v>
      </c>
    </row>
    <row r="27" spans="1:1">
      <c r="A27" s="10" t="s">
        <v>618</v>
      </c>
    </row>
    <row r="28" spans="1:1">
      <c r="A28" s="10" t="s">
        <v>604</v>
      </c>
    </row>
    <row r="29" spans="1:1">
      <c r="A29" s="10" t="s">
        <v>619</v>
      </c>
    </row>
    <row r="30" spans="1:1">
      <c r="A30" s="10" t="s">
        <v>620</v>
      </c>
    </row>
    <row r="31" spans="1:1">
      <c r="A31" s="10" t="s">
        <v>621</v>
      </c>
    </row>
    <row r="32" spans="1:1">
      <c r="A32" s="10" t="s">
        <v>622</v>
      </c>
    </row>
    <row r="33" spans="1:1">
      <c r="A33" s="10" t="s">
        <v>623</v>
      </c>
    </row>
    <row r="34" spans="1:1">
      <c r="A34" s="10" t="s">
        <v>604</v>
      </c>
    </row>
    <row r="35" spans="1:1">
      <c r="A35" s="10" t="s">
        <v>624</v>
      </c>
    </row>
    <row r="36" spans="1:1">
      <c r="A36" s="10" t="s">
        <v>598</v>
      </c>
    </row>
    <row r="37" spans="1:1">
      <c r="A37" s="10" t="s">
        <v>625</v>
      </c>
    </row>
    <row r="38" spans="1:1">
      <c r="A38" s="10" t="s">
        <v>626</v>
      </c>
    </row>
    <row r="39" spans="1:1">
      <c r="A39" s="10" t="s">
        <v>627</v>
      </c>
    </row>
    <row r="40" spans="1:1">
      <c r="A40" s="10" t="s">
        <v>628</v>
      </c>
    </row>
    <row r="41" spans="1:1">
      <c r="A41" s="10" t="s">
        <v>629</v>
      </c>
    </row>
    <row r="42" spans="1:1">
      <c r="A42" s="10" t="s">
        <v>630</v>
      </c>
    </row>
    <row r="43" spans="1:1">
      <c r="A43" s="10" t="s">
        <v>631</v>
      </c>
    </row>
    <row r="44" spans="1:1">
      <c r="A44" s="10" t="s">
        <v>632</v>
      </c>
    </row>
    <row r="45" spans="1:1">
      <c r="A45" s="10" t="s">
        <v>633</v>
      </c>
    </row>
    <row r="46" spans="1:1">
      <c r="A46" s="10" t="s">
        <v>634</v>
      </c>
    </row>
    <row r="47" spans="1:1">
      <c r="A47" s="10" t="s">
        <v>635</v>
      </c>
    </row>
    <row r="48" spans="1:1">
      <c r="A48" s="10" t="s">
        <v>604</v>
      </c>
    </row>
    <row r="49" spans="1:1">
      <c r="A49" s="10" t="s">
        <v>636</v>
      </c>
    </row>
    <row r="50" spans="1:1">
      <c r="A50" s="10" t="s">
        <v>598</v>
      </c>
    </row>
    <row r="51" spans="1:1">
      <c r="A51" s="10" t="s">
        <v>637</v>
      </c>
    </row>
    <row r="52" spans="1:1">
      <c r="A52" s="10" t="s">
        <v>638</v>
      </c>
    </row>
    <row r="53" spans="1:1">
      <c r="A53" s="10" t="s">
        <v>639</v>
      </c>
    </row>
    <row r="54" spans="1:1">
      <c r="A54" s="10" t="s">
        <v>640</v>
      </c>
    </row>
    <row r="55" spans="1:1">
      <c r="A55" s="10" t="s">
        <v>641</v>
      </c>
    </row>
    <row r="56" spans="1:1">
      <c r="A56" s="10" t="s">
        <v>604</v>
      </c>
    </row>
    <row r="57" spans="1:1">
      <c r="A57" s="10" t="s">
        <v>598</v>
      </c>
    </row>
    <row r="58" spans="1:1">
      <c r="A58" s="10" t="s">
        <v>642</v>
      </c>
    </row>
    <row r="59" spans="1:1">
      <c r="A59" s="10" t="s">
        <v>643</v>
      </c>
    </row>
    <row r="60" spans="1:1">
      <c r="A60" s="10" t="s">
        <v>644</v>
      </c>
    </row>
    <row r="61" spans="1:1">
      <c r="A61" s="10" t="s">
        <v>645</v>
      </c>
    </row>
    <row r="62" spans="1:1">
      <c r="A62" s="10" t="s">
        <v>646</v>
      </c>
    </row>
    <row r="63" spans="1:1">
      <c r="A63" s="10" t="s">
        <v>604</v>
      </c>
    </row>
    <row r="64" spans="1:1">
      <c r="A64" s="10" t="s">
        <v>598</v>
      </c>
    </row>
    <row r="65" spans="1:1">
      <c r="A65" s="10" t="s">
        <v>647</v>
      </c>
    </row>
    <row r="66" spans="1:1">
      <c r="A66" s="10" t="s">
        <v>643</v>
      </c>
    </row>
    <row r="67" spans="1:1">
      <c r="A67" s="10" t="s">
        <v>644</v>
      </c>
    </row>
    <row r="68" spans="1:1">
      <c r="A68" s="10" t="s">
        <v>648</v>
      </c>
    </row>
    <row r="69" spans="1:1">
      <c r="A69" s="10" t="s">
        <v>604</v>
      </c>
    </row>
    <row r="70" spans="1:1">
      <c r="A70" s="10" t="s">
        <v>598</v>
      </c>
    </row>
    <row r="71" spans="1:1">
      <c r="A71" s="10" t="s">
        <v>649</v>
      </c>
    </row>
    <row r="72" spans="1:1">
      <c r="A72" s="10" t="s">
        <v>650</v>
      </c>
    </row>
    <row r="73" spans="1:1">
      <c r="A73" s="10" t="s">
        <v>651</v>
      </c>
    </row>
    <row r="74" spans="1:1">
      <c r="A74" s="10" t="s">
        <v>652</v>
      </c>
    </row>
    <row r="75" spans="1:1">
      <c r="A75" s="10" t="s">
        <v>653</v>
      </c>
    </row>
    <row r="76" spans="1:1">
      <c r="A76" s="10" t="s">
        <v>614</v>
      </c>
    </row>
    <row r="77" spans="1:1">
      <c r="A77" s="10" t="s">
        <v>654</v>
      </c>
    </row>
    <row r="78" spans="1:1">
      <c r="A78" s="10" t="s">
        <v>655</v>
      </c>
    </row>
    <row r="79" spans="1:1">
      <c r="A79" s="10" t="s">
        <v>598</v>
      </c>
    </row>
    <row r="80" spans="1:1">
      <c r="A80" s="10" t="s">
        <v>656</v>
      </c>
    </row>
    <row r="81" spans="1:1">
      <c r="A81" s="10" t="s">
        <v>639</v>
      </c>
    </row>
    <row r="82" spans="1:1">
      <c r="A82" s="10" t="s">
        <v>652</v>
      </c>
    </row>
    <row r="83" spans="1:1">
      <c r="A83" s="10" t="s">
        <v>657</v>
      </c>
    </row>
    <row r="84" spans="1:1">
      <c r="A84" s="10" t="s">
        <v>604</v>
      </c>
    </row>
    <row r="85" spans="1:1">
      <c r="A85" s="10" t="s">
        <v>598</v>
      </c>
    </row>
    <row r="86" spans="1:1">
      <c r="A86" s="10" t="s">
        <v>658</v>
      </c>
    </row>
    <row r="87" spans="1:1">
      <c r="A87" s="10" t="s">
        <v>659</v>
      </c>
    </row>
    <row r="88" spans="1:1">
      <c r="A88" s="10" t="s">
        <v>660</v>
      </c>
    </row>
    <row r="89" spans="1:1">
      <c r="A89" s="10" t="s">
        <v>661</v>
      </c>
    </row>
    <row r="90" spans="1:1">
      <c r="A90" s="10" t="s">
        <v>604</v>
      </c>
    </row>
    <row r="91" spans="1:1">
      <c r="A91" s="10" t="s">
        <v>598</v>
      </c>
    </row>
    <row r="92" spans="1:1">
      <c r="A92" s="10" t="s">
        <v>662</v>
      </c>
    </row>
    <row r="93" spans="1:1">
      <c r="A93" s="10" t="s">
        <v>659</v>
      </c>
    </row>
    <row r="94" spans="1:1">
      <c r="A94" s="10" t="s">
        <v>663</v>
      </c>
    </row>
    <row r="95" spans="1:1">
      <c r="A95" s="10" t="s">
        <v>664</v>
      </c>
    </row>
    <row r="96" spans="1:1">
      <c r="A96" s="10" t="s">
        <v>614</v>
      </c>
    </row>
    <row r="97" spans="1:1">
      <c r="A97" s="10" t="s">
        <v>654</v>
      </c>
    </row>
    <row r="98" spans="1:1">
      <c r="A98" s="10" t="s">
        <v>665</v>
      </c>
    </row>
    <row r="99" spans="1:1">
      <c r="A99" s="10" t="s">
        <v>598</v>
      </c>
    </row>
    <row r="100" spans="1:1">
      <c r="A100" s="10" t="s">
        <v>666</v>
      </c>
    </row>
    <row r="101" spans="1:1">
      <c r="A101" s="10" t="s">
        <v>651</v>
      </c>
    </row>
    <row r="102" spans="1:1">
      <c r="A102" s="10" t="s">
        <v>667</v>
      </c>
    </row>
    <row r="103" spans="1:1">
      <c r="A103" s="10" t="s">
        <v>668</v>
      </c>
    </row>
    <row r="104" spans="1:1">
      <c r="A104" s="10" t="s">
        <v>604</v>
      </c>
    </row>
    <row r="105" spans="1:1">
      <c r="A105" s="10" t="s">
        <v>598</v>
      </c>
    </row>
    <row r="106" spans="1:1">
      <c r="A106" s="10" t="s">
        <v>669</v>
      </c>
    </row>
    <row r="107" spans="1:1">
      <c r="A107" s="10" t="s">
        <v>659</v>
      </c>
    </row>
    <row r="108" spans="1:1">
      <c r="A108" s="10" t="s">
        <v>660</v>
      </c>
    </row>
    <row r="109" spans="1:1">
      <c r="A109" s="10" t="s">
        <v>670</v>
      </c>
    </row>
    <row r="110" spans="1:1">
      <c r="A110" s="10" t="s">
        <v>614</v>
      </c>
    </row>
    <row r="111" spans="1:1">
      <c r="A111" s="10" t="s">
        <v>671</v>
      </c>
    </row>
    <row r="112" spans="1:1">
      <c r="A112" s="10" t="s">
        <v>614</v>
      </c>
    </row>
    <row r="113" spans="1:1">
      <c r="A113" s="10" t="s">
        <v>654</v>
      </c>
    </row>
    <row r="114" spans="1:1">
      <c r="A114" s="10" t="s">
        <v>672</v>
      </c>
    </row>
    <row r="115" spans="1:1">
      <c r="A115" s="10" t="s">
        <v>598</v>
      </c>
    </row>
    <row r="116" spans="1:1">
      <c r="A116" s="10" t="s">
        <v>673</v>
      </c>
    </row>
    <row r="117" spans="1:1">
      <c r="A117" s="10" t="s">
        <v>674</v>
      </c>
    </row>
    <row r="118" spans="1:1">
      <c r="A118" s="10" t="s">
        <v>614</v>
      </c>
    </row>
    <row r="119" spans="1:1">
      <c r="A119" s="10" t="s">
        <v>671</v>
      </c>
    </row>
    <row r="120" spans="1:1">
      <c r="A120" s="10" t="s">
        <v>614</v>
      </c>
    </row>
    <row r="121" spans="1:1">
      <c r="A121" s="10" t="s">
        <v>614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3.8"/>
  <cols>
    <col min="1" max="5" width="28" customWidth="1"/>
  </cols>
  <sheetData>
    <row r="1" spans="1:5">
      <c r="A1" s="6" t="s">
        <v>235</v>
      </c>
      <c r="B1" s="6" t="s">
        <v>233</v>
      </c>
      <c r="C1" s="6" t="s">
        <v>241</v>
      </c>
      <c r="D1" s="6" t="s">
        <v>242</v>
      </c>
      <c r="E1" s="6" t="s">
        <v>243</v>
      </c>
    </row>
    <row r="2" spans="1:5">
      <c r="A2" t="s">
        <v>455</v>
      </c>
      <c r="B2" t="s">
        <v>378</v>
      </c>
      <c r="C2" t="s">
        <v>255</v>
      </c>
      <c r="D2" t="s">
        <v>256</v>
      </c>
      <c r="E2" t="s">
        <v>257</v>
      </c>
    </row>
    <row r="3" spans="1:5">
      <c r="A3" t="s">
        <v>675</v>
      </c>
      <c r="B3" t="s">
        <v>250</v>
      </c>
      <c r="C3" t="s">
        <v>416</v>
      </c>
      <c r="D3" t="s">
        <v>468</v>
      </c>
      <c r="E3" t="s">
        <v>310</v>
      </c>
    </row>
    <row r="4" spans="1:5">
      <c r="A4" t="s">
        <v>252</v>
      </c>
      <c r="B4" t="s">
        <v>478</v>
      </c>
      <c r="C4" t="s">
        <v>489</v>
      </c>
      <c r="D4" t="s">
        <v>417</v>
      </c>
      <c r="E4" t="s">
        <v>382</v>
      </c>
    </row>
    <row r="5" spans="1:5">
      <c r="B5" t="s">
        <v>676</v>
      </c>
      <c r="C5" t="s">
        <v>458</v>
      </c>
      <c r="D5" t="s">
        <v>435</v>
      </c>
      <c r="E5" t="s">
        <v>436</v>
      </c>
    </row>
    <row r="6" spans="1:5">
      <c r="B6" t="s">
        <v>677</v>
      </c>
      <c r="C6" t="s">
        <v>434</v>
      </c>
      <c r="E6" t="s">
        <v>678</v>
      </c>
    </row>
    <row r="7" spans="1:5">
      <c r="E7" t="s">
        <v>679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Mapeamento BRM</vt:lpstr>
      <vt:lpstr>Resumo</vt:lpstr>
      <vt:lpstr>Referências</vt:lpstr>
      <vt:lpstr>Dicionário API</vt:lpstr>
      <vt:lpstr>Resumo Dicionário</vt:lpstr>
      <vt:lpstr>Modelo JSON</vt:lpstr>
      <vt:lpstr>Listas Dicionário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Fabiana Moreira Murad</cp:lastModifiedBy>
  <dcterms:modified xsi:type="dcterms:W3CDTF">2026-06-02T18:15:58Z</dcterms:modified>
</cp:coreProperties>
</file>